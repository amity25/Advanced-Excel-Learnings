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mita\Desktop\"/>
    </mc:Choice>
  </mc:AlternateContent>
  <xr:revisionPtr revIDLastSave="0" documentId="13_ncr:1_{67AA9202-8704-45FE-AE24-43D7C6A78491}" xr6:coauthVersionLast="47" xr6:coauthVersionMax="47" xr10:uidLastSave="{00000000-0000-0000-0000-000000000000}"/>
  <bookViews>
    <workbookView xWindow="-120" yWindow="-120" windowWidth="20730" windowHeight="11280" activeTab="4" xr2:uid="{00000000-000D-0000-FFFF-FFFF00000000}"/>
  </bookViews>
  <sheets>
    <sheet name="Actuals" sheetId="1" r:id="rId1"/>
    <sheet name="Budget" sheetId="2" r:id="rId2"/>
    <sheet name="Assumptions" sheetId="3" r:id="rId3"/>
    <sheet name="Income_Statement" sheetId="4" r:id="rId4"/>
    <sheet name="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5" l="1"/>
  <c r="E7" i="5"/>
  <c r="L2" i="4"/>
  <c r="K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F2" i="4"/>
  <c r="E2" i="4"/>
  <c r="I2" i="4"/>
  <c r="E25" i="4"/>
  <c r="B25" i="4"/>
  <c r="J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C2" i="4"/>
  <c r="C3" i="4"/>
  <c r="H3" i="4" s="1"/>
  <c r="C4" i="4"/>
  <c r="H4" i="4" s="1"/>
  <c r="C5" i="4"/>
  <c r="H5" i="4" s="1"/>
  <c r="C6" i="4"/>
  <c r="H6" i="4" s="1"/>
  <c r="C7" i="4"/>
  <c r="H7" i="4" s="1"/>
  <c r="C8" i="4"/>
  <c r="H8" i="4" s="1"/>
  <c r="C9" i="4"/>
  <c r="H9" i="4" s="1"/>
  <c r="C10" i="4"/>
  <c r="H10" i="4" s="1"/>
  <c r="C11" i="4"/>
  <c r="H11" i="4" s="1"/>
  <c r="C12" i="4"/>
  <c r="H12" i="4" s="1"/>
  <c r="C13" i="4"/>
  <c r="H13" i="4" s="1"/>
  <c r="C14" i="4"/>
  <c r="H14" i="4" s="1"/>
  <c r="C15" i="4"/>
  <c r="H15" i="4" s="1"/>
  <c r="C16" i="4"/>
  <c r="H16" i="4" s="1"/>
  <c r="C17" i="4"/>
  <c r="H17" i="4" s="1"/>
  <c r="C18" i="4"/>
  <c r="H18" i="4" s="1"/>
  <c r="C19" i="4"/>
  <c r="H19" i="4" s="1"/>
  <c r="C20" i="4"/>
  <c r="H20" i="4" s="1"/>
  <c r="C21" i="4"/>
  <c r="H21" i="4" s="1"/>
  <c r="C22" i="4"/>
  <c r="H22" i="4" s="1"/>
  <c r="C23" i="4"/>
  <c r="H23" i="4" s="1"/>
  <c r="C24" i="4"/>
  <c r="H24" i="4" s="1"/>
  <c r="C25" i="4"/>
  <c r="H25" i="4" s="1"/>
  <c r="B2" i="4"/>
  <c r="D2" i="4" s="1"/>
  <c r="B3" i="4"/>
  <c r="B4" i="4"/>
  <c r="D4" i="4" s="1"/>
  <c r="B5" i="4"/>
  <c r="B6" i="4"/>
  <c r="B7" i="4"/>
  <c r="D7" i="4" s="1"/>
  <c r="B8" i="4"/>
  <c r="D8" i="4" s="1"/>
  <c r="B9" i="4"/>
  <c r="D9" i="4" s="1"/>
  <c r="B10" i="4"/>
  <c r="D10" i="4" s="1"/>
  <c r="B11" i="4"/>
  <c r="B12" i="4"/>
  <c r="B13" i="4"/>
  <c r="D13" i="4" s="1"/>
  <c r="B14" i="4"/>
  <c r="B15" i="4"/>
  <c r="D15" i="4" s="1"/>
  <c r="B16" i="4"/>
  <c r="D16" i="4" s="1"/>
  <c r="B17" i="4"/>
  <c r="D17" i="4" s="1"/>
  <c r="B18" i="4"/>
  <c r="B19" i="4"/>
  <c r="D19" i="4" s="1"/>
  <c r="B20" i="4"/>
  <c r="B21" i="4"/>
  <c r="D21" i="4" s="1"/>
  <c r="B22" i="4"/>
  <c r="D22" i="4" s="1"/>
  <c r="B23" i="4"/>
  <c r="B24" i="4"/>
  <c r="G7" i="5" l="1"/>
  <c r="G25" i="4"/>
  <c r="D12" i="4"/>
  <c r="D23" i="4"/>
  <c r="D20" i="4"/>
  <c r="D18" i="4"/>
  <c r="D14" i="4"/>
  <c r="D11" i="4"/>
  <c r="D6" i="4"/>
  <c r="D5" i="4"/>
  <c r="D3" i="4"/>
  <c r="B26" i="4"/>
  <c r="C26" i="4"/>
  <c r="C27" i="4" s="1"/>
  <c r="C28" i="4" s="1"/>
  <c r="C29" i="4" s="1"/>
  <c r="H2" i="4"/>
  <c r="D25" i="4"/>
  <c r="D24" i="4"/>
  <c r="G21" i="4"/>
  <c r="G17" i="4"/>
  <c r="G13" i="4"/>
  <c r="G9" i="4"/>
  <c r="G5" i="4"/>
  <c r="G24" i="4"/>
  <c r="G20" i="4"/>
  <c r="G16" i="4"/>
  <c r="G12" i="4"/>
  <c r="G8" i="4"/>
  <c r="G4" i="4"/>
  <c r="G23" i="4"/>
  <c r="G19" i="4"/>
  <c r="G15" i="4"/>
  <c r="G11" i="4"/>
  <c r="G7" i="4"/>
  <c r="G3" i="4"/>
  <c r="G2" i="4"/>
  <c r="G22" i="4"/>
  <c r="G18" i="4"/>
  <c r="G14" i="4"/>
  <c r="G10" i="4"/>
  <c r="G6" i="4"/>
  <c r="B27" i="4" l="1"/>
  <c r="D27" i="4" s="1"/>
  <c r="D26" i="4"/>
  <c r="C30" i="4"/>
  <c r="B28" i="4" l="1"/>
  <c r="C31" i="4"/>
  <c r="B29" i="4" l="1"/>
  <c r="D28" i="4"/>
  <c r="B30" i="4" l="1"/>
  <c r="D29" i="4"/>
  <c r="B31" i="4" l="1"/>
  <c r="D30" i="4"/>
  <c r="D31" i="4" l="1"/>
</calcChain>
</file>

<file path=xl/sharedStrings.xml><?xml version="1.0" encoding="utf-8"?>
<sst xmlns="http://schemas.openxmlformats.org/spreadsheetml/2006/main" count="79" uniqueCount="55">
  <si>
    <t>Date</t>
  </si>
  <si>
    <t>Month</t>
  </si>
  <si>
    <t>Revenue</t>
  </si>
  <si>
    <t>Cost</t>
  </si>
  <si>
    <t>Department</t>
  </si>
  <si>
    <t>Jan-2023</t>
  </si>
  <si>
    <t>Sales</t>
  </si>
  <si>
    <t>Feb-2023</t>
  </si>
  <si>
    <t>Operations</t>
  </si>
  <si>
    <t>Mar-2023</t>
  </si>
  <si>
    <t>Apr-2023</t>
  </si>
  <si>
    <t>Marketing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</si>
  <si>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</si>
  <si>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</si>
  <si>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</si>
  <si>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</si>
  <si>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</si>
  <si>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</si>
  <si>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</si>
  <si>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</si>
  <si>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HR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</si>
  <si>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</si>
  <si>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</si>
  <si>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</si>
  <si>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</si>
  <si>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</si>
  <si>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</si>
  <si>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</si>
  <si>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</si>
  <si>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</si>
  <si>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</si>
  <si>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</si>
  <si>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</si>
  <si>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Budget_Revenue</t>
  </si>
  <si>
    <t>Budget_Cost</t>
  </si>
  <si>
    <t>Metric</t>
  </si>
  <si>
    <t>Value</t>
  </si>
  <si>
    <t>Growth Rate (%)</t>
  </si>
  <si>
    <t>Cost Increase (%)</t>
  </si>
  <si>
    <t>Forecast Months</t>
  </si>
  <si>
    <t>Profit</t>
  </si>
  <si>
    <t>Budget Revenue</t>
  </si>
  <si>
    <t>Budget Cost</t>
  </si>
  <si>
    <t>Revenue Variance</t>
  </si>
  <si>
    <t>Cost Variance</t>
  </si>
  <si>
    <t xml:space="preserve">Revenue Variance is positive good and negative bad but cost variance is negative good and positive bad as positive means overspending ----use  greater than and less than condition in conditional formatting to highlight these               </t>
  </si>
  <si>
    <t>Growth Rate</t>
  </si>
  <si>
    <t>Cost Increase</t>
  </si>
  <si>
    <t>Actual Revenue</t>
  </si>
  <si>
    <t>Forecast Revenue</t>
  </si>
  <si>
    <t xml:space="preserve">Greens are forecast </t>
  </si>
  <si>
    <t>Financial Planning &amp; Forecast Dashboard</t>
  </si>
  <si>
    <t>Total Revenue:</t>
  </si>
  <si>
    <t>Total Profit:</t>
  </si>
  <si>
    <t>Profit Margin: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</si>
</sst>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1" formatCode="[$-14009]dd\ mmmm\ 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/>
    </xf>
    <xf numFmtId="2" fontId="0" fillId="3" borderId="0" xfId="0" applyNumberFormat="1" applyFill="1"/>
    <xf numFmtId="14" fontId="0" fillId="0" borderId="0" xfId="0" applyNumberFormat="1"/>
    <xf numFmtId="14" fontId="0" fillId="3" borderId="0" xfId="0" applyNumberFormat="1" applyFill="1"/>
    <xf numFmtId="171" fontId="0" fillId="0" borderId="0" xfId="0" applyNumberFormat="1"/>
    <xf numFmtId="171" fontId="0" fillId="3" borderId="0" xfId="0" applyNumberFormat="1" applyFill="1" applyAlignment="1">
      <alignment horizontal="center"/>
    </xf>
    <xf numFmtId="0" fontId="3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4" fillId="7" borderId="0" xfId="0" applyFont="1" applyFill="1" applyAlignment="1">
      <alignment horizontal="center" vertic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19" formatCode="dd/mm/yyyy"/>
    </dxf>
    <dxf>
      <numFmt numFmtId="2" formatCode="0.00"/>
    </dxf>
    <dxf>
      <numFmt numFmtId="19" formatCode="dd/mm/yyyy"/>
    </dxf>
    <dxf>
      <numFmt numFmtId="2" formatCode="0.00"/>
    </dxf>
    <dxf>
      <numFmt numFmtId="171" formatCode="[$-14009]dd\ mmmm\ yyyy;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</dxfs>
  <tableStyles count="1" defaultTableStyle="TableStyleMedium9" defaultPivotStyle="PivotStyleLight16">
    <tableStyle name="Invisible" pivot="0" table="0" count="0" xr9:uid="{44121EBA-81BE-4725-A7B9-6D3B24BA5DB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Actual vs Forecast Revenue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Income_Statement!$A$2:$A$46</c:f>
              <c:numCache>
                <c:formatCode>m/d/yyyy</c:formatCode>
                <c:ptCount val="4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cat>
          <c:val>
            <c:numRef>
              <c:f>Income_Statement!$K$2:$K$46</c:f>
              <c:numCache>
                <c:formatCode>0.00</c:formatCode>
                <c:ptCount val="45"/>
                <c:pt idx="0">
                  <c:v>77425</c:v>
                </c:pt>
                <c:pt idx="1">
                  <c:v>91711</c:v>
                </c:pt>
                <c:pt idx="2">
                  <c:v>116848</c:v>
                </c:pt>
                <c:pt idx="3">
                  <c:v>79136</c:v>
                </c:pt>
                <c:pt idx="4">
                  <c:v>118650</c:v>
                </c:pt>
                <c:pt idx="5">
                  <c:v>105880</c:v>
                </c:pt>
                <c:pt idx="6">
                  <c:v>98719</c:v>
                </c:pt>
                <c:pt idx="7">
                  <c:v>84807</c:v>
                </c:pt>
                <c:pt idx="8">
                  <c:v>86331</c:v>
                </c:pt>
                <c:pt idx="9">
                  <c:v>102822</c:v>
                </c:pt>
                <c:pt idx="10">
                  <c:v>102581</c:v>
                </c:pt>
                <c:pt idx="11">
                  <c:v>113390</c:v>
                </c:pt>
                <c:pt idx="12">
                  <c:v>89808</c:v>
                </c:pt>
                <c:pt idx="13">
                  <c:v>107817</c:v>
                </c:pt>
                <c:pt idx="14">
                  <c:v>50359</c:v>
                </c:pt>
                <c:pt idx="15">
                  <c:v>57578</c:v>
                </c:pt>
                <c:pt idx="16">
                  <c:v>98652</c:v>
                </c:pt>
                <c:pt idx="17">
                  <c:v>70007</c:v>
                </c:pt>
                <c:pt idx="18">
                  <c:v>78452</c:v>
                </c:pt>
                <c:pt idx="19">
                  <c:v>106782</c:v>
                </c:pt>
                <c:pt idx="20">
                  <c:v>58049</c:v>
                </c:pt>
                <c:pt idx="21">
                  <c:v>92095</c:v>
                </c:pt>
                <c:pt idx="22">
                  <c:v>111635</c:v>
                </c:pt>
                <c:pt idx="23">
                  <c:v>52721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A9-41B7-907D-3650170EEE4A}"/>
            </c:ext>
          </c:extLst>
        </c:ser>
        <c:ser>
          <c:idx val="1"/>
          <c:order val="1"/>
          <c:tx>
            <c:v>Forecast</c:v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Income_Statement!$A$2:$A$46</c:f>
              <c:numCache>
                <c:formatCode>m/d/yyyy</c:formatCode>
                <c:ptCount val="4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cat>
          <c:val>
            <c:numRef>
              <c:f>Income_Statement!$L$2:$L$46</c:f>
              <c:numCache>
                <c:formatCode>0.00</c:formatCode>
                <c:ptCount val="4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52721</c:v>
                </c:pt>
                <c:pt idx="24">
                  <c:v>57993.100000000006</c:v>
                </c:pt>
                <c:pt idx="25">
                  <c:v>63792.410000000011</c:v>
                </c:pt>
                <c:pt idx="26">
                  <c:v>70171.651000000013</c:v>
                </c:pt>
                <c:pt idx="27">
                  <c:v>77188.816100000025</c:v>
                </c:pt>
                <c:pt idx="28">
                  <c:v>84907.697710000037</c:v>
                </c:pt>
                <c:pt idx="29">
                  <c:v>93398.467481000043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A9-41B7-907D-3650170EE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1791791"/>
        <c:axId val="1891787471"/>
      </c:lineChart>
      <c:dateAx>
        <c:axId val="18917917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787471"/>
        <c:crosses val="autoZero"/>
        <c:auto val="1"/>
        <c:lblOffset val="100"/>
        <c:baseTimeUnit val="months"/>
      </c:dateAx>
      <c:valAx>
        <c:axId val="189178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79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2</xdr:row>
      <xdr:rowOff>95250</xdr:rowOff>
    </xdr:from>
    <xdr:to>
      <xdr:col>17</xdr:col>
      <xdr:colOff>400050</xdr:colOff>
      <xdr:row>16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3416B3-43DB-40B0-AE3C-2DC37155A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55745E-9F91-4D2B-8911-10A542D69D0A}" name="tbl_actuals" displayName="tbl_actuals" ref="A1:E31" totalsRowShown="0">
  <autoFilter ref="A1:E31" xr:uid="{6C55745E-9F91-4D2B-8911-10A542D69D0A}"/>
  <tableColumns count="5">
    <tableColumn id="1" xr3:uid="{F5F08D6C-1183-4AF7-8910-322148F43102}" name="Date" dataDxfId="10"/>
    <tableColumn id="2" xr3:uid="{0B70A124-1C03-4588-8C2F-5475C49EB280}" name="Month"/>
    <tableColumn id="3" xr3:uid="{95104070-0D74-4685-BB14-E727337A635A}" name="Revenue" dataDxfId="22"/>
    <tableColumn id="4" xr3:uid="{3CA3D7A8-1363-4C58-B147-8F71238EBB9D}" name="Cost" dataDxfId="21"/>
    <tableColumn id="5" xr3:uid="{377BAE09-EE9A-427A-B668-956190D69C77}" name="Departm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D68477-3606-49A8-82E4-98F66F967E4E}" name="tbl_budget" displayName="tbl_budget" ref="A1:C25" totalsRowShown="0">
  <autoFilter ref="A1:C25" xr:uid="{7BD68477-3606-49A8-82E4-98F66F967E4E}"/>
  <tableColumns count="3">
    <tableColumn id="1" xr3:uid="{A75A8030-E2F9-4A50-857F-741E2D4270A8}" name="Month" dataDxfId="8"/>
    <tableColumn id="2" xr3:uid="{5D35FF91-831D-4AF9-B7A6-0D2D950E116E}" name="Budget_Revenue" dataDxfId="9"/>
    <tableColumn id="3" xr3:uid="{05200620-B75E-4BDC-9865-B12B69100887}" name="Budget_Cost" dataDxfId="2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1DF518-1253-454E-9279-4A33B37E5E42}" name="tbl_assumptions" displayName="tbl_assumptions" ref="A1:B4" totalsRowShown="0">
  <autoFilter ref="A1:B4" xr:uid="{591DF518-1253-454E-9279-4A33B37E5E42}"/>
  <tableColumns count="2">
    <tableColumn id="1" xr3:uid="{0F9E9DC4-720D-4DA8-A14B-1F4B9DE8A32A}" name="Metric"/>
    <tableColumn id="2" xr3:uid="{94132517-FF7A-4F01-A963-146432CB1D9C}" name="Val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52A401-3804-4798-BA09-CBAA4F64D1C5}" name="Table5" displayName="Table5" ref="A1:L31" totalsRowShown="0" headerRowDxfId="19">
  <autoFilter ref="A1:L31" xr:uid="{EB52A401-3804-4798-BA09-CBAA4F64D1C5}"/>
  <tableColumns count="12">
    <tableColumn id="1" xr3:uid="{A43BEB28-EAD1-48BF-A883-5B5D611D8789}" name="Month" dataDxfId="6"/>
    <tableColumn id="2" xr3:uid="{F3DEC417-4958-40EF-BC2B-0E281AFA8B28}" name="Revenue" dataDxfId="7">
      <calculatedColumnFormula>SUMIFS(tbl_actuals[Revenue], tbl_actuals[Month], A2)</calculatedColumnFormula>
    </tableColumn>
    <tableColumn id="3" xr3:uid="{C5B607A2-FA8D-4C2F-BB87-AEEB6B98C3B8}" name="Cost" dataDxfId="18">
      <calculatedColumnFormula>SUMIFS(tbl_actuals[Cost], tbl_actuals[Month], A2)</calculatedColumnFormula>
    </tableColumn>
    <tableColumn id="4" xr3:uid="{A616114E-D4C1-4D7C-ACE4-F17EE50EE072}" name="Profit" dataDxfId="17">
      <calculatedColumnFormula xml:space="preserve"> B2 - C2</calculatedColumnFormula>
    </tableColumn>
    <tableColumn id="5" xr3:uid="{C83D5BFC-13AC-4455-80D9-77550EE57626}" name="Budget Revenue" dataDxfId="16">
      <calculatedColumnFormula>VLOOKUP(A2, tbl_budget[], 2, FALSE)</calculatedColumnFormula>
    </tableColumn>
    <tableColumn id="6" xr3:uid="{2731A480-3E6B-46A6-8D99-DCF0445775B4}" name="Budget Cost" dataDxfId="15">
      <calculatedColumnFormula>VLOOKUP(A2, tbl_budget[], 3, FALSE)</calculatedColumnFormula>
    </tableColumn>
    <tableColumn id="7" xr3:uid="{698BA713-18D5-4953-BE07-D9F23EFC8F8C}" name="Revenue Variance" dataDxfId="14">
      <calculatedColumnFormula>B2-E2</calculatedColumnFormula>
    </tableColumn>
    <tableColumn id="8" xr3:uid="{D1CE1661-DD73-4DCE-8F61-56DA62668247}" name="Cost Variance" dataDxfId="13">
      <calculatedColumnFormula>C2-F2</calculatedColumnFormula>
    </tableColumn>
    <tableColumn id="9" xr3:uid="{B468C0CB-0BC5-4B20-B555-2724BCE39821}" name="Growth Rate" dataDxfId="12">
      <calculatedColumnFormula>Assumptions!B2 / 100</calculatedColumnFormula>
    </tableColumn>
    <tableColumn id="10" xr3:uid="{41FE80FB-FD37-4E1B-8BCC-E417DDE7234C}" name="Cost Increase" dataDxfId="11">
      <calculatedColumnFormula>Assumptions!B3 / 100</calculatedColumnFormula>
    </tableColumn>
    <tableColumn id="11" xr3:uid="{CAFAD430-291D-4E5C-8FFB-A13E87F9E250}" name="Actual Revenue" dataDxfId="5">
      <calculatedColumnFormula>IF(A2&lt;=DATE(2024,12,1), B2, NA())</calculatedColumnFormula>
    </tableColumn>
    <tableColumn id="12" xr3:uid="{024D1164-A2FC-4507-9097-06FE07589BA2}" name="Forecast Revenue" dataDxfId="4">
      <calculatedColumnFormula>IF(A2&gt;=DATE(2024,12,1), B2, NA())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>
      <selection activeCell="A2" sqref="A2:A25"/>
    </sheetView>
  </sheetViews>
  <sheetFormatPr defaultRowHeight="15" x14ac:dyDescent="0.25"/>
  <cols>
    <col min="1" max="1" width="13.7109375" style="1" customWidth="1"/>
    <col min="3" max="3" width="11" customWidth="1"/>
    <col min="4" max="4" width="15.5703125" style="1" customWidth="1"/>
    <col min="5" max="5" width="18" customWidth="1"/>
  </cols>
  <sheetData>
    <row r="1" spans="1:5" x14ac:dyDescent="0.25">
      <c r="A1" s="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s="8">
        <v>44927</v>
      </c>
      <c r="B2" t="s">
        <v>5</v>
      </c>
      <c r="C2" s="1">
        <v>77425</v>
      </c>
      <c r="D2" s="1">
        <v>72453</v>
      </c>
      <c r="E2" t="s">
        <v>6</v>
      </c>
    </row>
    <row r="3" spans="1:5" x14ac:dyDescent="0.25">
      <c r="A3" s="8">
        <v>44958</v>
      </c>
      <c r="B3" t="s">
        <v>7</v>
      </c>
      <c r="C3" s="1">
        <v>91711</v>
      </c>
      <c r="D3" s="1">
        <v>82880</v>
      </c>
      <c r="E3" t="s">
        <v>8</v>
      </c>
    </row>
    <row r="4" spans="1:5" x14ac:dyDescent="0.25">
      <c r="A4" s="8">
        <v>44986</v>
      </c>
      <c r="B4" t="s">
        <v>9</v>
      </c>
      <c r="C4" s="1">
        <v>116848</v>
      </c>
      <c r="D4" s="1">
        <v>83964</v>
      </c>
      <c r="E4" t="s">
        <v>6</v>
      </c>
    </row>
    <row r="5" spans="1:5" x14ac:dyDescent="0.25">
      <c r="A5" s="8">
        <v>45017</v>
      </c>
      <c r="B5" t="s">
        <v>10</v>
      </c>
      <c r="C5" s="1">
        <v>79136</v>
      </c>
      <c r="D5" s="1">
        <v>76391</v>
      </c>
      <c r="E5" t="s">
        <v>11</v>
      </c>
    </row>
    <row r="6" spans="1:5" x14ac:dyDescent="0.25">
      <c r="A6" s="8">
        <v>45047</v>
      </c>
      <c r="B6" t="s">
        <v>12</v>
      </c>
      <c r="C6" s="1">
        <v>118650</v>
      </c>
      <c r="D6" s="1">
        <v>43709</v>
      </c>
      <c r="E6" t="s">
        <v>6</v>
      </c>
    </row>
    <row r="7" spans="1:5" x14ac:dyDescent="0.25">
      <c r="A7" s="8">
        <v>45078</v>
      </c>
      <c r="B7" t="s">
        <v>13</v>
      </c>
      <c r="C7" s="1">
        <v>105880</v>
      </c>
      <c r="D7" s="1">
        <v>57940</v>
      </c>
      <c r="E7" t="s">
        <v>8</v>
      </c>
    </row>
    <row r="8" spans="1:5" x14ac:dyDescent="0.25">
      <c r="A8" s="8">
        <v>45108</v>
      </c>
      <c r="B8" t="s">
        <v>14</v>
      </c>
      <c r="C8" s="1">
        <v>98719</v>
      </c>
      <c r="D8" s="1">
        <v>32150</v>
      </c>
      <c r="E8" t="s">
        <v>8</v>
      </c>
    </row>
    <row r="9" spans="1:5" x14ac:dyDescent="0.25">
      <c r="A9" s="8">
        <v>45139</v>
      </c>
      <c r="B9" t="s">
        <v>15</v>
      </c>
      <c r="C9" s="1">
        <v>84807</v>
      </c>
      <c r="D9" s="1">
        <v>35723</v>
      </c>
      <c r="E9" t="s">
        <v>6</v>
      </c>
    </row>
    <row r="10" spans="1:5" x14ac:dyDescent="0.25">
      <c r="A10" s="8">
        <v>45170</v>
      </c>
      <c r="B10" t="s">
        <v>16</v>
      </c>
      <c r="C10" s="1">
        <v>86331</v>
      </c>
      <c r="D10" s="1">
        <v>75818</v>
      </c>
      <c r="E10" t="s">
        <v>6</v>
      </c>
    </row>
    <row r="11" spans="1:5" x14ac:dyDescent="0.25">
      <c r="A11" s="8">
        <v>45200</v>
      </c>
      <c r="B11" t="s">
        <v>17</v>
      </c>
      <c r="C11" s="1">
        <v>102822</v>
      </c>
      <c r="D11" s="1">
        <v>83067</v>
      </c>
      <c r="E11" t="s">
        <v>6</v>
      </c>
    </row>
    <row r="12" spans="1:5" x14ac:dyDescent="0.25">
      <c r="A12" s="8">
        <v>45231</v>
      </c>
      <c r="B12" t="s">
        <v>18</v>
      </c>
      <c r="C12" s="1">
        <v>102581</v>
      </c>
      <c r="D12" s="1">
        <v>46748</v>
      </c>
      <c r="E12" t="s">
        <v>11</v>
      </c>
    </row>
    <row r="13" spans="1:5" x14ac:dyDescent="0.25">
      <c r="A13" s="8">
        <v>45261</v>
      </c>
      <c r="B13" t="s">
        <v>19</v>
      </c>
      <c r="C13" s="1">
        <v>113390</v>
      </c>
      <c r="D13" s="1">
        <v>58851</v>
      </c>
      <c r="E13" t="s">
        <v>20</v>
      </c>
    </row>
    <row r="14" spans="1:5" x14ac:dyDescent="0.25">
      <c r="A14" s="8">
        <v>45292</v>
      </c>
      <c r="B14" t="s">
        <v>21</v>
      </c>
      <c r="C14" s="1">
        <v>89808</v>
      </c>
      <c r="D14" s="1">
        <v>80189</v>
      </c>
      <c r="E14" t="s">
        <v>20</v>
      </c>
    </row>
    <row r="15" spans="1:5" x14ac:dyDescent="0.25">
      <c r="A15" s="8">
        <v>45323</v>
      </c>
      <c r="B15" t="s">
        <v>22</v>
      </c>
      <c r="C15" s="1">
        <v>107817</v>
      </c>
      <c r="D15" s="1">
        <v>72336</v>
      </c>
      <c r="E15" t="s">
        <v>20</v>
      </c>
    </row>
    <row r="16" spans="1:5" x14ac:dyDescent="0.25">
      <c r="A16" s="8">
        <v>45352</v>
      </c>
      <c r="B16" t="s">
        <v>23</v>
      </c>
      <c r="C16" s="1">
        <v>50359</v>
      </c>
      <c r="D16" s="1">
        <v>60653</v>
      </c>
      <c r="E16" t="s">
        <v>11</v>
      </c>
    </row>
    <row r="17" spans="1:5" x14ac:dyDescent="0.25">
      <c r="A17" s="8">
        <v>45383</v>
      </c>
      <c r="B17" t="s">
        <v>24</v>
      </c>
      <c r="C17" s="1">
        <v>57578</v>
      </c>
      <c r="D17" s="1">
        <v>57175</v>
      </c>
      <c r="E17" t="s">
        <v>6</v>
      </c>
    </row>
    <row r="18" spans="1:5" x14ac:dyDescent="0.25">
      <c r="A18" s="8">
        <v>45413</v>
      </c>
      <c r="B18" t="s">
        <v>25</v>
      </c>
      <c r="C18" s="1">
        <v>98652</v>
      </c>
      <c r="D18" s="1">
        <v>32510</v>
      </c>
      <c r="E18" t="s">
        <v>8</v>
      </c>
    </row>
    <row r="19" spans="1:5" x14ac:dyDescent="0.25">
      <c r="A19" s="8">
        <v>45444</v>
      </c>
      <c r="B19" t="s">
        <v>26</v>
      </c>
      <c r="C19" s="1">
        <v>70007</v>
      </c>
      <c r="D19" s="1">
        <v>84448</v>
      </c>
      <c r="E19" t="s">
        <v>20</v>
      </c>
    </row>
    <row r="20" spans="1:5" x14ac:dyDescent="0.25">
      <c r="A20" s="8">
        <v>45474</v>
      </c>
      <c r="B20" t="s">
        <v>27</v>
      </c>
      <c r="C20" s="1">
        <v>78452</v>
      </c>
      <c r="D20" s="1">
        <v>80200</v>
      </c>
      <c r="E20" t="s">
        <v>8</v>
      </c>
    </row>
    <row r="21" spans="1:5" x14ac:dyDescent="0.25">
      <c r="A21" s="8">
        <v>45505</v>
      </c>
      <c r="B21" t="s">
        <v>28</v>
      </c>
      <c r="C21" s="1">
        <v>106782</v>
      </c>
      <c r="D21" s="1">
        <v>43517</v>
      </c>
      <c r="E21" t="s">
        <v>8</v>
      </c>
    </row>
    <row r="22" spans="1:5" x14ac:dyDescent="0.25">
      <c r="A22" s="8">
        <v>45536</v>
      </c>
      <c r="B22" t="s">
        <v>29</v>
      </c>
      <c r="C22" s="1">
        <v>58049</v>
      </c>
      <c r="D22" s="1">
        <v>70662</v>
      </c>
      <c r="E22" t="s">
        <v>6</v>
      </c>
    </row>
    <row r="23" spans="1:5" x14ac:dyDescent="0.25">
      <c r="A23" s="8">
        <v>45566</v>
      </c>
      <c r="B23" t="s">
        <v>30</v>
      </c>
      <c r="C23" s="1">
        <v>92095</v>
      </c>
      <c r="D23" s="1">
        <v>63999</v>
      </c>
      <c r="E23" t="s">
        <v>20</v>
      </c>
    </row>
    <row r="24" spans="1:5" x14ac:dyDescent="0.25">
      <c r="A24" s="8">
        <v>45597</v>
      </c>
      <c r="B24" t="s">
        <v>31</v>
      </c>
      <c r="C24" s="1">
        <v>111635</v>
      </c>
      <c r="D24" s="1">
        <v>33822</v>
      </c>
      <c r="E24" t="s">
        <v>8</v>
      </c>
    </row>
    <row r="25" spans="1:5" x14ac:dyDescent="0.25">
      <c r="A25" s="8">
        <v>45627</v>
      </c>
      <c r="B25" t="s">
        <v>32</v>
      </c>
      <c r="C25" s="1">
        <v>52721</v>
      </c>
      <c r="D25" s="1">
        <v>34683</v>
      </c>
      <c r="E25" t="s">
        <v>6</v>
      </c>
    </row>
    <row r="26" spans="1:5" x14ac:dyDescent="0.25">
      <c r="A26" s="10"/>
      <c r="C26" s="1"/>
    </row>
    <row r="27" spans="1:5" x14ac:dyDescent="0.25">
      <c r="A27" s="10"/>
      <c r="C27" s="1"/>
    </row>
    <row r="28" spans="1:5" x14ac:dyDescent="0.25">
      <c r="A28" s="10"/>
      <c r="C28" s="1"/>
    </row>
    <row r="29" spans="1:5" x14ac:dyDescent="0.25">
      <c r="A29" s="10"/>
      <c r="C29" s="1"/>
    </row>
    <row r="30" spans="1:5" x14ac:dyDescent="0.25">
      <c r="A30" s="10"/>
      <c r="C30" s="1"/>
    </row>
    <row r="31" spans="1:5" x14ac:dyDescent="0.25">
      <c r="A31" s="10"/>
      <c r="C31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>
      <selection activeCell="F13" sqref="F13"/>
    </sheetView>
  </sheetViews>
  <sheetFormatPr defaultRowHeight="15" x14ac:dyDescent="0.25"/>
  <cols>
    <col min="1" max="1" width="13.140625" customWidth="1"/>
    <col min="2" max="2" width="18.28515625" style="1" customWidth="1"/>
    <col min="3" max="3" width="16" style="1" customWidth="1"/>
  </cols>
  <sheetData>
    <row r="1" spans="1:3" x14ac:dyDescent="0.25">
      <c r="A1" t="s">
        <v>1</v>
      </c>
      <c r="B1" s="1" t="s">
        <v>33</v>
      </c>
      <c r="C1" s="1" t="s">
        <v>34</v>
      </c>
    </row>
    <row r="2" spans="1:3" x14ac:dyDescent="0.25">
      <c r="A2" s="8">
        <v>44927</v>
      </c>
      <c r="B2" s="1">
        <v>83463</v>
      </c>
      <c r="C2" s="1">
        <v>76451</v>
      </c>
    </row>
    <row r="3" spans="1:3" x14ac:dyDescent="0.25">
      <c r="A3" s="8">
        <v>44958</v>
      </c>
      <c r="B3" s="1">
        <v>82734</v>
      </c>
      <c r="C3" s="1">
        <v>91108</v>
      </c>
    </row>
    <row r="4" spans="1:3" x14ac:dyDescent="0.25">
      <c r="A4" s="8">
        <v>44986</v>
      </c>
      <c r="B4" s="1">
        <v>124369</v>
      </c>
      <c r="C4" s="1">
        <v>76875</v>
      </c>
    </row>
    <row r="5" spans="1:3" x14ac:dyDescent="0.25">
      <c r="A5" s="8">
        <v>45017</v>
      </c>
      <c r="B5" s="1">
        <v>86628</v>
      </c>
      <c r="C5" s="1">
        <v>72014</v>
      </c>
    </row>
    <row r="6" spans="1:3" x14ac:dyDescent="0.25">
      <c r="A6" s="8">
        <v>45047</v>
      </c>
      <c r="B6" s="1">
        <v>123233</v>
      </c>
      <c r="C6" s="1">
        <v>45511</v>
      </c>
    </row>
    <row r="7" spans="1:3" x14ac:dyDescent="0.25">
      <c r="A7" s="8">
        <v>45078</v>
      </c>
      <c r="B7" s="1">
        <v>107280</v>
      </c>
      <c r="C7" s="1">
        <v>53371</v>
      </c>
    </row>
    <row r="8" spans="1:3" x14ac:dyDescent="0.25">
      <c r="A8" s="8">
        <v>45108</v>
      </c>
      <c r="B8" s="1">
        <v>99892</v>
      </c>
      <c r="C8" s="1">
        <v>34485</v>
      </c>
    </row>
    <row r="9" spans="1:3" x14ac:dyDescent="0.25">
      <c r="A9" s="8">
        <v>45139</v>
      </c>
      <c r="B9" s="1">
        <v>84323</v>
      </c>
      <c r="C9" s="1">
        <v>38936</v>
      </c>
    </row>
    <row r="10" spans="1:3" x14ac:dyDescent="0.25">
      <c r="A10" s="8">
        <v>45170</v>
      </c>
      <c r="B10" s="1">
        <v>84408</v>
      </c>
      <c r="C10" s="1">
        <v>77754</v>
      </c>
    </row>
    <row r="11" spans="1:3" x14ac:dyDescent="0.25">
      <c r="A11" s="8">
        <v>45200</v>
      </c>
      <c r="B11" s="1">
        <v>111757</v>
      </c>
      <c r="C11" s="1">
        <v>75989</v>
      </c>
    </row>
    <row r="12" spans="1:3" x14ac:dyDescent="0.25">
      <c r="A12" s="8">
        <v>45231</v>
      </c>
      <c r="B12" s="1">
        <v>103366</v>
      </c>
      <c r="C12" s="1">
        <v>48043</v>
      </c>
    </row>
    <row r="13" spans="1:3" x14ac:dyDescent="0.25">
      <c r="A13" s="8">
        <v>45261</v>
      </c>
      <c r="B13" s="1">
        <v>117433</v>
      </c>
      <c r="C13" s="1">
        <v>61936</v>
      </c>
    </row>
    <row r="14" spans="1:3" x14ac:dyDescent="0.25">
      <c r="A14" s="8">
        <v>45292</v>
      </c>
      <c r="B14" s="1">
        <v>82922</v>
      </c>
      <c r="C14" s="1">
        <v>79630</v>
      </c>
    </row>
    <row r="15" spans="1:3" x14ac:dyDescent="0.25">
      <c r="A15" s="8">
        <v>45323</v>
      </c>
      <c r="B15" s="1">
        <v>108638</v>
      </c>
      <c r="C15" s="1">
        <v>76671</v>
      </c>
    </row>
    <row r="16" spans="1:3" x14ac:dyDescent="0.25">
      <c r="A16" s="8">
        <v>45352</v>
      </c>
      <c r="B16" s="1">
        <v>45331</v>
      </c>
      <c r="C16" s="1">
        <v>55193</v>
      </c>
    </row>
    <row r="17" spans="1:3" x14ac:dyDescent="0.25">
      <c r="A17" s="8">
        <v>45383</v>
      </c>
      <c r="B17" s="1">
        <v>56561</v>
      </c>
      <c r="C17" s="1">
        <v>55074</v>
      </c>
    </row>
    <row r="18" spans="1:3" x14ac:dyDescent="0.25">
      <c r="A18" s="8">
        <v>45413</v>
      </c>
      <c r="B18" s="1">
        <v>94981</v>
      </c>
      <c r="C18" s="1">
        <v>32829</v>
      </c>
    </row>
    <row r="19" spans="1:3" x14ac:dyDescent="0.25">
      <c r="A19" s="8">
        <v>45444</v>
      </c>
      <c r="B19" s="1">
        <v>74526</v>
      </c>
      <c r="C19" s="1">
        <v>80934</v>
      </c>
    </row>
    <row r="20" spans="1:3" x14ac:dyDescent="0.25">
      <c r="A20" s="8">
        <v>45474</v>
      </c>
      <c r="B20" s="1">
        <v>79556</v>
      </c>
      <c r="C20" s="1">
        <v>85666</v>
      </c>
    </row>
    <row r="21" spans="1:3" x14ac:dyDescent="0.25">
      <c r="A21" s="8">
        <v>45505</v>
      </c>
      <c r="B21" s="1">
        <v>105260</v>
      </c>
      <c r="C21" s="1">
        <v>40535</v>
      </c>
    </row>
    <row r="22" spans="1:3" x14ac:dyDescent="0.25">
      <c r="A22" s="8">
        <v>45536</v>
      </c>
      <c r="B22" s="1">
        <v>62892</v>
      </c>
      <c r="C22" s="1">
        <v>68489</v>
      </c>
    </row>
    <row r="23" spans="1:3" x14ac:dyDescent="0.25">
      <c r="A23" s="8">
        <v>45566</v>
      </c>
      <c r="B23" s="1">
        <v>88527</v>
      </c>
      <c r="C23" s="1">
        <v>58942</v>
      </c>
    </row>
    <row r="24" spans="1:3" x14ac:dyDescent="0.25">
      <c r="A24" s="8">
        <v>45597</v>
      </c>
      <c r="B24" s="1">
        <v>101535</v>
      </c>
      <c r="C24" s="1">
        <v>36824</v>
      </c>
    </row>
    <row r="25" spans="1:3" x14ac:dyDescent="0.25">
      <c r="A25" s="8">
        <v>45627</v>
      </c>
      <c r="B25" s="1">
        <v>55216</v>
      </c>
      <c r="C25" s="1">
        <v>34471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E9" sqref="E9"/>
    </sheetView>
  </sheetViews>
  <sheetFormatPr defaultRowHeight="15" x14ac:dyDescent="0.25"/>
  <cols>
    <col min="1" max="1" width="19.28515625" customWidth="1"/>
    <col min="2" max="2" width="12.85546875" customWidth="1"/>
  </cols>
  <sheetData>
    <row r="1" spans="1:2" x14ac:dyDescent="0.25">
      <c r="A1" t="s">
        <v>35</v>
      </c>
      <c r="B1" t="s">
        <v>36</v>
      </c>
    </row>
    <row r="2" spans="1:2" x14ac:dyDescent="0.25">
      <c r="A2" t="s">
        <v>37</v>
      </c>
      <c r="B2">
        <v>10</v>
      </c>
    </row>
    <row r="3" spans="1:2" x14ac:dyDescent="0.25">
      <c r="A3" t="s">
        <v>38</v>
      </c>
      <c r="B3">
        <v>5</v>
      </c>
    </row>
    <row r="4" spans="1:2" x14ac:dyDescent="0.25">
      <c r="A4" t="s">
        <v>39</v>
      </c>
      <c r="B4">
        <v>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0071-8780-4956-A354-1EFAD95C26B5}">
  <dimension ref="A1:L46"/>
  <sheetViews>
    <sheetView workbookViewId="0">
      <selection activeCell="N3" sqref="N3"/>
    </sheetView>
  </sheetViews>
  <sheetFormatPr defaultRowHeight="15" x14ac:dyDescent="0.25"/>
  <cols>
    <col min="1" max="1" width="13.5703125" style="10" customWidth="1"/>
    <col min="2" max="2" width="13.28515625" style="1" customWidth="1"/>
    <col min="3" max="3" width="11.85546875" style="1" customWidth="1"/>
    <col min="4" max="4" width="11.42578125" customWidth="1"/>
    <col min="5" max="5" width="13.42578125" customWidth="1"/>
    <col min="6" max="6" width="9.85546875" customWidth="1"/>
    <col min="7" max="7" width="13.85546875" customWidth="1"/>
    <col min="8" max="8" width="12.42578125" customWidth="1"/>
    <col min="9" max="9" width="10.28515625" customWidth="1"/>
    <col min="10" max="10" width="11.28515625" customWidth="1"/>
    <col min="11" max="11" width="13.5703125" customWidth="1"/>
    <col min="12" max="12" width="15.5703125" customWidth="1"/>
  </cols>
  <sheetData>
    <row r="1" spans="1:12" ht="30" x14ac:dyDescent="0.25">
      <c r="A1" s="10" t="s">
        <v>1</v>
      </c>
      <c r="B1" s="3" t="s">
        <v>2</v>
      </c>
      <c r="C1" s="3" t="s">
        <v>3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 x14ac:dyDescent="0.25">
      <c r="A2" s="8">
        <v>44927</v>
      </c>
      <c r="B2" s="1">
        <f>SUMIFS(tbl_actuals[Revenue], tbl_actuals[Month], A2)</f>
        <v>77425</v>
      </c>
      <c r="C2" s="1">
        <f>SUMIFS(tbl_actuals[Cost], tbl_actuals[Month], A2)</f>
        <v>72453</v>
      </c>
      <c r="D2" s="1">
        <f t="shared" ref="D2:D25" si="0" xml:space="preserve"> B2 - C2</f>
        <v>4972</v>
      </c>
      <c r="E2" s="1">
        <f>VLOOKUP(A2, tbl_budget[], 2, FALSE)</f>
        <v>83463</v>
      </c>
      <c r="F2" s="1">
        <f>VLOOKUP(A2, tbl_budget[], 3, FALSE)</f>
        <v>76451</v>
      </c>
      <c r="G2" s="1">
        <f>B2-E2</f>
        <v>-6038</v>
      </c>
      <c r="H2" s="1">
        <f>C2-F2</f>
        <v>-3998</v>
      </c>
      <c r="I2" s="1">
        <f>Assumptions!B2 / 100</f>
        <v>0.1</v>
      </c>
      <c r="J2" s="1">
        <f>Assumptions!B3 / 100</f>
        <v>0.05</v>
      </c>
      <c r="K2" s="1">
        <f>IF(A2&lt;=DATE(2024,12,1), B2, NA())</f>
        <v>77425</v>
      </c>
      <c r="L2" s="1" t="e">
        <f>IF(A2&gt;=DATE(2024,12,1), B2, NA())</f>
        <v>#N/A</v>
      </c>
    </row>
    <row r="3" spans="1:12" x14ac:dyDescent="0.25">
      <c r="A3" s="8">
        <v>44958</v>
      </c>
      <c r="B3" s="1">
        <f>SUMIFS(tbl_actuals[Revenue], tbl_actuals[Month], A3)</f>
        <v>91711</v>
      </c>
      <c r="C3" s="1">
        <f>SUMIFS(tbl_actuals[Cost], tbl_actuals[Month], A3)</f>
        <v>82880</v>
      </c>
      <c r="D3" s="1">
        <f t="shared" si="0"/>
        <v>8831</v>
      </c>
      <c r="E3" s="1">
        <f>VLOOKUP(A3, tbl_budget[], 2, FALSE)</f>
        <v>82734</v>
      </c>
      <c r="F3" s="1">
        <f>VLOOKUP(A3, tbl_budget[], 3, FALSE)</f>
        <v>91108</v>
      </c>
      <c r="G3" s="1">
        <f t="shared" ref="G3:G24" si="1">B3-E3</f>
        <v>8977</v>
      </c>
      <c r="H3" s="1">
        <f t="shared" ref="H2:H25" si="2">C3-F3</f>
        <v>-8228</v>
      </c>
      <c r="I3" s="1"/>
      <c r="J3" s="1"/>
      <c r="K3" s="1">
        <f t="shared" ref="K2:K31" si="3">IF(A3&lt;=DATE(2024,12,1), B3, NA())</f>
        <v>91711</v>
      </c>
      <c r="L3" s="1" t="e">
        <f t="shared" ref="L2:L31" si="4">IF(A3&gt;=DATE(2024,12,1), B3, NA())</f>
        <v>#N/A</v>
      </c>
    </row>
    <row r="4" spans="1:12" x14ac:dyDescent="0.25">
      <c r="A4" s="8">
        <v>44986</v>
      </c>
      <c r="B4" s="1">
        <f>SUMIFS(tbl_actuals[Revenue], tbl_actuals[Month], A4)</f>
        <v>116848</v>
      </c>
      <c r="C4" s="1">
        <f>SUMIFS(tbl_actuals[Cost], tbl_actuals[Month], A4)</f>
        <v>83964</v>
      </c>
      <c r="D4" s="1">
        <f t="shared" si="0"/>
        <v>32884</v>
      </c>
      <c r="E4" s="1">
        <f>VLOOKUP(A4, tbl_budget[], 2, FALSE)</f>
        <v>124369</v>
      </c>
      <c r="F4" s="1">
        <f>VLOOKUP(A4, tbl_budget[], 3, FALSE)</f>
        <v>76875</v>
      </c>
      <c r="G4" s="1">
        <f t="shared" si="1"/>
        <v>-7521</v>
      </c>
      <c r="H4" s="1">
        <f t="shared" si="2"/>
        <v>7089</v>
      </c>
      <c r="I4" s="1"/>
      <c r="J4" s="1"/>
      <c r="K4" s="1">
        <f t="shared" si="3"/>
        <v>116848</v>
      </c>
      <c r="L4" s="1" t="e">
        <f t="shared" si="4"/>
        <v>#N/A</v>
      </c>
    </row>
    <row r="5" spans="1:12" x14ac:dyDescent="0.25">
      <c r="A5" s="8">
        <v>45017</v>
      </c>
      <c r="B5" s="1">
        <f>SUMIFS(tbl_actuals[Revenue], tbl_actuals[Month], A5)</f>
        <v>79136</v>
      </c>
      <c r="C5" s="1">
        <f>SUMIFS(tbl_actuals[Cost], tbl_actuals[Month], A5)</f>
        <v>76391</v>
      </c>
      <c r="D5" s="1">
        <f t="shared" si="0"/>
        <v>2745</v>
      </c>
      <c r="E5" s="1">
        <f>VLOOKUP(A5, tbl_budget[], 2, FALSE)</f>
        <v>86628</v>
      </c>
      <c r="F5" s="1">
        <f>VLOOKUP(A5, tbl_budget[], 3, FALSE)</f>
        <v>72014</v>
      </c>
      <c r="G5" s="1">
        <f t="shared" si="1"/>
        <v>-7492</v>
      </c>
      <c r="H5" s="1">
        <f t="shared" si="2"/>
        <v>4377</v>
      </c>
      <c r="I5" s="1"/>
      <c r="J5" s="1"/>
      <c r="K5" s="1">
        <f t="shared" si="3"/>
        <v>79136</v>
      </c>
      <c r="L5" s="1" t="e">
        <f t="shared" si="4"/>
        <v>#N/A</v>
      </c>
    </row>
    <row r="6" spans="1:12" x14ac:dyDescent="0.25">
      <c r="A6" s="8">
        <v>45047</v>
      </c>
      <c r="B6" s="1">
        <f>SUMIFS(tbl_actuals[Revenue], tbl_actuals[Month], A6)</f>
        <v>118650</v>
      </c>
      <c r="C6" s="1">
        <f>SUMIFS(tbl_actuals[Cost], tbl_actuals[Month], A6)</f>
        <v>43709</v>
      </c>
      <c r="D6" s="1">
        <f t="shared" si="0"/>
        <v>74941</v>
      </c>
      <c r="E6" s="1">
        <f>VLOOKUP(A6, tbl_budget[], 2, FALSE)</f>
        <v>123233</v>
      </c>
      <c r="F6" s="1">
        <f>VLOOKUP(A6, tbl_budget[], 3, FALSE)</f>
        <v>45511</v>
      </c>
      <c r="G6" s="1">
        <f t="shared" si="1"/>
        <v>-4583</v>
      </c>
      <c r="H6" s="1">
        <f t="shared" si="2"/>
        <v>-1802</v>
      </c>
      <c r="I6" s="1"/>
      <c r="J6" s="1"/>
      <c r="K6" s="1">
        <f t="shared" si="3"/>
        <v>118650</v>
      </c>
      <c r="L6" s="1" t="e">
        <f t="shared" si="4"/>
        <v>#N/A</v>
      </c>
    </row>
    <row r="7" spans="1:12" x14ac:dyDescent="0.25">
      <c r="A7" s="8">
        <v>45078</v>
      </c>
      <c r="B7" s="1">
        <f>SUMIFS(tbl_actuals[Revenue], tbl_actuals[Month], A7)</f>
        <v>105880</v>
      </c>
      <c r="C7" s="1">
        <f>SUMIFS(tbl_actuals[Cost], tbl_actuals[Month], A7)</f>
        <v>57940</v>
      </c>
      <c r="D7" s="1">
        <f t="shared" si="0"/>
        <v>47940</v>
      </c>
      <c r="E7" s="1">
        <f>VLOOKUP(A7, tbl_budget[], 2, FALSE)</f>
        <v>107280</v>
      </c>
      <c r="F7" s="1">
        <f>VLOOKUP(A7, tbl_budget[], 3, FALSE)</f>
        <v>53371</v>
      </c>
      <c r="G7" s="1">
        <f t="shared" si="1"/>
        <v>-1400</v>
      </c>
      <c r="H7" s="1">
        <f t="shared" si="2"/>
        <v>4569</v>
      </c>
      <c r="I7" s="1"/>
      <c r="J7" s="1"/>
      <c r="K7" s="1">
        <f t="shared" si="3"/>
        <v>105880</v>
      </c>
      <c r="L7" s="1" t="e">
        <f t="shared" si="4"/>
        <v>#N/A</v>
      </c>
    </row>
    <row r="8" spans="1:12" x14ac:dyDescent="0.25">
      <c r="A8" s="8">
        <v>45108</v>
      </c>
      <c r="B8" s="1">
        <f>SUMIFS(tbl_actuals[Revenue], tbl_actuals[Month], A8)</f>
        <v>98719</v>
      </c>
      <c r="C8" s="1">
        <f>SUMIFS(tbl_actuals[Cost], tbl_actuals[Month], A8)</f>
        <v>32150</v>
      </c>
      <c r="D8" s="1">
        <f t="shared" si="0"/>
        <v>66569</v>
      </c>
      <c r="E8" s="1">
        <f>VLOOKUP(A8, tbl_budget[], 2, FALSE)</f>
        <v>99892</v>
      </c>
      <c r="F8" s="1">
        <f>VLOOKUP(A8, tbl_budget[], 3, FALSE)</f>
        <v>34485</v>
      </c>
      <c r="G8" s="1">
        <f t="shared" si="1"/>
        <v>-1173</v>
      </c>
      <c r="H8" s="1">
        <f t="shared" si="2"/>
        <v>-2335</v>
      </c>
      <c r="I8" s="1"/>
      <c r="J8" s="1"/>
      <c r="K8" s="1">
        <f t="shared" si="3"/>
        <v>98719</v>
      </c>
      <c r="L8" s="1" t="e">
        <f t="shared" si="4"/>
        <v>#N/A</v>
      </c>
    </row>
    <row r="9" spans="1:12" x14ac:dyDescent="0.25">
      <c r="A9" s="8">
        <v>45139</v>
      </c>
      <c r="B9" s="1">
        <f>SUMIFS(tbl_actuals[Revenue], tbl_actuals[Month], A9)</f>
        <v>84807</v>
      </c>
      <c r="C9" s="1">
        <f>SUMIFS(tbl_actuals[Cost], tbl_actuals[Month], A9)</f>
        <v>35723</v>
      </c>
      <c r="D9" s="1">
        <f t="shared" si="0"/>
        <v>49084</v>
      </c>
      <c r="E9" s="1">
        <f>VLOOKUP(A9, tbl_budget[], 2, FALSE)</f>
        <v>84323</v>
      </c>
      <c r="F9" s="1">
        <f>VLOOKUP(A9, tbl_budget[], 3, FALSE)</f>
        <v>38936</v>
      </c>
      <c r="G9" s="1">
        <f t="shared" si="1"/>
        <v>484</v>
      </c>
      <c r="H9" s="1">
        <f t="shared" si="2"/>
        <v>-3213</v>
      </c>
      <c r="I9" s="1"/>
      <c r="J9" s="1"/>
      <c r="K9" s="1">
        <f t="shared" si="3"/>
        <v>84807</v>
      </c>
      <c r="L9" s="1" t="e">
        <f t="shared" si="4"/>
        <v>#N/A</v>
      </c>
    </row>
    <row r="10" spans="1:12" x14ac:dyDescent="0.25">
      <c r="A10" s="8">
        <v>45170</v>
      </c>
      <c r="B10" s="1">
        <f>SUMIFS(tbl_actuals[Revenue], tbl_actuals[Month], A10)</f>
        <v>86331</v>
      </c>
      <c r="C10" s="1">
        <f>SUMIFS(tbl_actuals[Cost], tbl_actuals[Month], A10)</f>
        <v>75818</v>
      </c>
      <c r="D10" s="1">
        <f t="shared" si="0"/>
        <v>10513</v>
      </c>
      <c r="E10" s="1">
        <f>VLOOKUP(A10, tbl_budget[], 2, FALSE)</f>
        <v>84408</v>
      </c>
      <c r="F10" s="1">
        <f>VLOOKUP(A10, tbl_budget[], 3, FALSE)</f>
        <v>77754</v>
      </c>
      <c r="G10" s="1">
        <f t="shared" si="1"/>
        <v>1923</v>
      </c>
      <c r="H10" s="1">
        <f t="shared" si="2"/>
        <v>-1936</v>
      </c>
      <c r="I10" s="1"/>
      <c r="J10" s="1"/>
      <c r="K10" s="1">
        <f t="shared" si="3"/>
        <v>86331</v>
      </c>
      <c r="L10" s="1" t="e">
        <f t="shared" si="4"/>
        <v>#N/A</v>
      </c>
    </row>
    <row r="11" spans="1:12" x14ac:dyDescent="0.25">
      <c r="A11" s="8">
        <v>45200</v>
      </c>
      <c r="B11" s="1">
        <f>SUMIFS(tbl_actuals[Revenue], tbl_actuals[Month], A11)</f>
        <v>102822</v>
      </c>
      <c r="C11" s="1">
        <f>SUMIFS(tbl_actuals[Cost], tbl_actuals[Month], A11)</f>
        <v>83067</v>
      </c>
      <c r="D11" s="1">
        <f t="shared" si="0"/>
        <v>19755</v>
      </c>
      <c r="E11" s="1">
        <f>VLOOKUP(A11, tbl_budget[], 2, FALSE)</f>
        <v>111757</v>
      </c>
      <c r="F11" s="1">
        <f>VLOOKUP(A11, tbl_budget[], 3, FALSE)</f>
        <v>75989</v>
      </c>
      <c r="G11" s="1">
        <f t="shared" si="1"/>
        <v>-8935</v>
      </c>
      <c r="H11" s="1">
        <f t="shared" si="2"/>
        <v>7078</v>
      </c>
      <c r="I11" s="1"/>
      <c r="J11" s="1"/>
      <c r="K11" s="1">
        <f t="shared" si="3"/>
        <v>102822</v>
      </c>
      <c r="L11" s="1" t="e">
        <f t="shared" si="4"/>
        <v>#N/A</v>
      </c>
    </row>
    <row r="12" spans="1:12" x14ac:dyDescent="0.25">
      <c r="A12" s="8">
        <v>45231</v>
      </c>
      <c r="B12" s="1">
        <f>SUMIFS(tbl_actuals[Revenue], tbl_actuals[Month], A12)</f>
        <v>102581</v>
      </c>
      <c r="C12" s="1">
        <f>SUMIFS(tbl_actuals[Cost], tbl_actuals[Month], A12)</f>
        <v>46748</v>
      </c>
      <c r="D12" s="1">
        <f t="shared" si="0"/>
        <v>55833</v>
      </c>
      <c r="E12" s="1">
        <f>VLOOKUP(A12, tbl_budget[], 2, FALSE)</f>
        <v>103366</v>
      </c>
      <c r="F12" s="1">
        <f>VLOOKUP(A12, tbl_budget[], 3, FALSE)</f>
        <v>48043</v>
      </c>
      <c r="G12" s="1">
        <f t="shared" si="1"/>
        <v>-785</v>
      </c>
      <c r="H12" s="1">
        <f t="shared" si="2"/>
        <v>-1295</v>
      </c>
      <c r="I12" s="1"/>
      <c r="J12" s="1"/>
      <c r="K12" s="1">
        <f t="shared" si="3"/>
        <v>102581</v>
      </c>
      <c r="L12" s="1" t="e">
        <f t="shared" si="4"/>
        <v>#N/A</v>
      </c>
    </row>
    <row r="13" spans="1:12" x14ac:dyDescent="0.25">
      <c r="A13" s="8">
        <v>45261</v>
      </c>
      <c r="B13" s="1">
        <f>SUMIFS(tbl_actuals[Revenue], tbl_actuals[Month], A13)</f>
        <v>113390</v>
      </c>
      <c r="C13" s="1">
        <f>SUMIFS(tbl_actuals[Cost], tbl_actuals[Month], A13)</f>
        <v>58851</v>
      </c>
      <c r="D13" s="1">
        <f t="shared" si="0"/>
        <v>54539</v>
      </c>
      <c r="E13" s="1">
        <f>VLOOKUP(A13, tbl_budget[], 2, FALSE)</f>
        <v>117433</v>
      </c>
      <c r="F13" s="1">
        <f>VLOOKUP(A13, tbl_budget[], 3, FALSE)</f>
        <v>61936</v>
      </c>
      <c r="G13" s="1">
        <f t="shared" si="1"/>
        <v>-4043</v>
      </c>
      <c r="H13" s="1">
        <f t="shared" si="2"/>
        <v>-3085</v>
      </c>
      <c r="I13" s="1"/>
      <c r="J13" s="1"/>
      <c r="K13" s="1">
        <f t="shared" si="3"/>
        <v>113390</v>
      </c>
      <c r="L13" s="1" t="e">
        <f t="shared" si="4"/>
        <v>#N/A</v>
      </c>
    </row>
    <row r="14" spans="1:12" x14ac:dyDescent="0.25">
      <c r="A14" s="8">
        <v>45292</v>
      </c>
      <c r="B14" s="1">
        <f>SUMIFS(tbl_actuals[Revenue], tbl_actuals[Month], A14)</f>
        <v>89808</v>
      </c>
      <c r="C14" s="1">
        <f>SUMIFS(tbl_actuals[Cost], tbl_actuals[Month], A14)</f>
        <v>80189</v>
      </c>
      <c r="D14" s="1">
        <f t="shared" si="0"/>
        <v>9619</v>
      </c>
      <c r="E14" s="1">
        <f>VLOOKUP(A14, tbl_budget[], 2, FALSE)</f>
        <v>82922</v>
      </c>
      <c r="F14" s="1">
        <f>VLOOKUP(A14, tbl_budget[], 3, FALSE)</f>
        <v>79630</v>
      </c>
      <c r="G14" s="1">
        <f t="shared" si="1"/>
        <v>6886</v>
      </c>
      <c r="H14" s="1">
        <f t="shared" si="2"/>
        <v>559</v>
      </c>
      <c r="I14" s="1"/>
      <c r="J14" s="1"/>
      <c r="K14" s="1">
        <f t="shared" si="3"/>
        <v>89808</v>
      </c>
      <c r="L14" s="1" t="e">
        <f t="shared" si="4"/>
        <v>#N/A</v>
      </c>
    </row>
    <row r="15" spans="1:12" x14ac:dyDescent="0.25">
      <c r="A15" s="8">
        <v>45323</v>
      </c>
      <c r="B15" s="1">
        <f>SUMIFS(tbl_actuals[Revenue], tbl_actuals[Month], A15)</f>
        <v>107817</v>
      </c>
      <c r="C15" s="1">
        <f>SUMIFS(tbl_actuals[Cost], tbl_actuals[Month], A15)</f>
        <v>72336</v>
      </c>
      <c r="D15" s="1">
        <f t="shared" si="0"/>
        <v>35481</v>
      </c>
      <c r="E15" s="1">
        <f>VLOOKUP(A15, tbl_budget[], 2, FALSE)</f>
        <v>108638</v>
      </c>
      <c r="F15" s="1">
        <f>VLOOKUP(A15, tbl_budget[], 3, FALSE)</f>
        <v>76671</v>
      </c>
      <c r="G15" s="1">
        <f t="shared" si="1"/>
        <v>-821</v>
      </c>
      <c r="H15" s="1">
        <f t="shared" si="2"/>
        <v>-4335</v>
      </c>
      <c r="I15" s="1"/>
      <c r="J15" s="1"/>
      <c r="K15" s="1">
        <f t="shared" si="3"/>
        <v>107817</v>
      </c>
      <c r="L15" s="1" t="e">
        <f t="shared" si="4"/>
        <v>#N/A</v>
      </c>
    </row>
    <row r="16" spans="1:12" x14ac:dyDescent="0.25">
      <c r="A16" s="8">
        <v>45352</v>
      </c>
      <c r="B16" s="1">
        <f>SUMIFS(tbl_actuals[Revenue], tbl_actuals[Month], A16)</f>
        <v>50359</v>
      </c>
      <c r="C16" s="1">
        <f>SUMIFS(tbl_actuals[Cost], tbl_actuals[Month], A16)</f>
        <v>60653</v>
      </c>
      <c r="D16" s="1">
        <f t="shared" si="0"/>
        <v>-10294</v>
      </c>
      <c r="E16" s="1">
        <f>VLOOKUP(A16, tbl_budget[], 2, FALSE)</f>
        <v>45331</v>
      </c>
      <c r="F16" s="1">
        <f>VLOOKUP(A16, tbl_budget[], 3, FALSE)</f>
        <v>55193</v>
      </c>
      <c r="G16" s="1">
        <f t="shared" si="1"/>
        <v>5028</v>
      </c>
      <c r="H16" s="1">
        <f t="shared" si="2"/>
        <v>5460</v>
      </c>
      <c r="I16" s="1"/>
      <c r="J16" s="1"/>
      <c r="K16" s="1">
        <f t="shared" si="3"/>
        <v>50359</v>
      </c>
      <c r="L16" s="1" t="e">
        <f t="shared" si="4"/>
        <v>#N/A</v>
      </c>
    </row>
    <row r="17" spans="1:12" x14ac:dyDescent="0.25">
      <c r="A17" s="8">
        <v>45383</v>
      </c>
      <c r="B17" s="1">
        <f>SUMIFS(tbl_actuals[Revenue], tbl_actuals[Month], A17)</f>
        <v>57578</v>
      </c>
      <c r="C17" s="1">
        <f>SUMIFS(tbl_actuals[Cost], tbl_actuals[Month], A17)</f>
        <v>57175</v>
      </c>
      <c r="D17" s="1">
        <f t="shared" si="0"/>
        <v>403</v>
      </c>
      <c r="E17" s="1">
        <f>VLOOKUP(A17, tbl_budget[], 2, FALSE)</f>
        <v>56561</v>
      </c>
      <c r="F17" s="1">
        <f>VLOOKUP(A17, tbl_budget[], 3, FALSE)</f>
        <v>55074</v>
      </c>
      <c r="G17" s="1">
        <f t="shared" si="1"/>
        <v>1017</v>
      </c>
      <c r="H17" s="1">
        <f t="shared" si="2"/>
        <v>2101</v>
      </c>
      <c r="I17" s="1"/>
      <c r="J17" s="1"/>
      <c r="K17" s="1">
        <f t="shared" si="3"/>
        <v>57578</v>
      </c>
      <c r="L17" s="1" t="e">
        <f t="shared" si="4"/>
        <v>#N/A</v>
      </c>
    </row>
    <row r="18" spans="1:12" x14ac:dyDescent="0.25">
      <c r="A18" s="8">
        <v>45413</v>
      </c>
      <c r="B18" s="1">
        <f>SUMIFS(tbl_actuals[Revenue], tbl_actuals[Month], A18)</f>
        <v>98652</v>
      </c>
      <c r="C18" s="1">
        <f>SUMIFS(tbl_actuals[Cost], tbl_actuals[Month], A18)</f>
        <v>32510</v>
      </c>
      <c r="D18" s="1">
        <f t="shared" si="0"/>
        <v>66142</v>
      </c>
      <c r="E18" s="1">
        <f>VLOOKUP(A18, tbl_budget[], 2, FALSE)</f>
        <v>94981</v>
      </c>
      <c r="F18" s="1">
        <f>VLOOKUP(A18, tbl_budget[], 3, FALSE)</f>
        <v>32829</v>
      </c>
      <c r="G18" s="1">
        <f t="shared" si="1"/>
        <v>3671</v>
      </c>
      <c r="H18" s="1">
        <f t="shared" si="2"/>
        <v>-319</v>
      </c>
      <c r="I18" s="1"/>
      <c r="J18" s="1"/>
      <c r="K18" s="1">
        <f t="shared" si="3"/>
        <v>98652</v>
      </c>
      <c r="L18" s="1" t="e">
        <f t="shared" si="4"/>
        <v>#N/A</v>
      </c>
    </row>
    <row r="19" spans="1:12" x14ac:dyDescent="0.25">
      <c r="A19" s="8">
        <v>45444</v>
      </c>
      <c r="B19" s="1">
        <f>SUMIFS(tbl_actuals[Revenue], tbl_actuals[Month], A19)</f>
        <v>70007</v>
      </c>
      <c r="C19" s="1">
        <f>SUMIFS(tbl_actuals[Cost], tbl_actuals[Month], A19)</f>
        <v>84448</v>
      </c>
      <c r="D19" s="1">
        <f t="shared" si="0"/>
        <v>-14441</v>
      </c>
      <c r="E19" s="1">
        <f>VLOOKUP(A19, tbl_budget[], 2, FALSE)</f>
        <v>74526</v>
      </c>
      <c r="F19" s="1">
        <f>VLOOKUP(A19, tbl_budget[], 3, FALSE)</f>
        <v>80934</v>
      </c>
      <c r="G19" s="1">
        <f t="shared" si="1"/>
        <v>-4519</v>
      </c>
      <c r="H19" s="1">
        <f t="shared" si="2"/>
        <v>3514</v>
      </c>
      <c r="I19" s="1"/>
      <c r="J19" s="1"/>
      <c r="K19" s="1">
        <f t="shared" si="3"/>
        <v>70007</v>
      </c>
      <c r="L19" s="1" t="e">
        <f t="shared" si="4"/>
        <v>#N/A</v>
      </c>
    </row>
    <row r="20" spans="1:12" x14ac:dyDescent="0.25">
      <c r="A20" s="8">
        <v>45474</v>
      </c>
      <c r="B20" s="1">
        <f>SUMIFS(tbl_actuals[Revenue], tbl_actuals[Month], A20)</f>
        <v>78452</v>
      </c>
      <c r="C20" s="1">
        <f>SUMIFS(tbl_actuals[Cost], tbl_actuals[Month], A20)</f>
        <v>80200</v>
      </c>
      <c r="D20" s="1">
        <f t="shared" si="0"/>
        <v>-1748</v>
      </c>
      <c r="E20" s="1">
        <f>VLOOKUP(A20, tbl_budget[], 2, FALSE)</f>
        <v>79556</v>
      </c>
      <c r="F20" s="1">
        <f>VLOOKUP(A20, tbl_budget[], 3, FALSE)</f>
        <v>85666</v>
      </c>
      <c r="G20" s="1">
        <f t="shared" si="1"/>
        <v>-1104</v>
      </c>
      <c r="H20" s="1">
        <f t="shared" si="2"/>
        <v>-5466</v>
      </c>
      <c r="I20" s="1"/>
      <c r="J20" s="1"/>
      <c r="K20" s="1">
        <f t="shared" si="3"/>
        <v>78452</v>
      </c>
      <c r="L20" s="1" t="e">
        <f t="shared" si="4"/>
        <v>#N/A</v>
      </c>
    </row>
    <row r="21" spans="1:12" x14ac:dyDescent="0.25">
      <c r="A21" s="8">
        <v>45505</v>
      </c>
      <c r="B21" s="1">
        <f>SUMIFS(tbl_actuals[Revenue], tbl_actuals[Month], A21)</f>
        <v>106782</v>
      </c>
      <c r="C21" s="1">
        <f>SUMIFS(tbl_actuals[Cost], tbl_actuals[Month], A21)</f>
        <v>43517</v>
      </c>
      <c r="D21" s="1">
        <f t="shared" si="0"/>
        <v>63265</v>
      </c>
      <c r="E21" s="1">
        <f>VLOOKUP(A21, tbl_budget[], 2, FALSE)</f>
        <v>105260</v>
      </c>
      <c r="F21" s="1">
        <f>VLOOKUP(A21, tbl_budget[], 3, FALSE)</f>
        <v>40535</v>
      </c>
      <c r="G21" s="1">
        <f t="shared" si="1"/>
        <v>1522</v>
      </c>
      <c r="H21" s="1">
        <f t="shared" si="2"/>
        <v>2982</v>
      </c>
      <c r="I21" s="1"/>
      <c r="J21" s="1"/>
      <c r="K21" s="1">
        <f t="shared" si="3"/>
        <v>106782</v>
      </c>
      <c r="L21" s="1" t="e">
        <f t="shared" si="4"/>
        <v>#N/A</v>
      </c>
    </row>
    <row r="22" spans="1:12" x14ac:dyDescent="0.25">
      <c r="A22" s="8">
        <v>45536</v>
      </c>
      <c r="B22" s="1">
        <f>SUMIFS(tbl_actuals[Revenue], tbl_actuals[Month], A22)</f>
        <v>58049</v>
      </c>
      <c r="C22" s="1">
        <f>SUMIFS(tbl_actuals[Cost], tbl_actuals[Month], A22)</f>
        <v>70662</v>
      </c>
      <c r="D22" s="1">
        <f t="shared" si="0"/>
        <v>-12613</v>
      </c>
      <c r="E22" s="1">
        <f>VLOOKUP(A22, tbl_budget[], 2, FALSE)</f>
        <v>62892</v>
      </c>
      <c r="F22" s="1">
        <f>VLOOKUP(A22, tbl_budget[], 3, FALSE)</f>
        <v>68489</v>
      </c>
      <c r="G22" s="1">
        <f t="shared" si="1"/>
        <v>-4843</v>
      </c>
      <c r="H22" s="1">
        <f t="shared" si="2"/>
        <v>2173</v>
      </c>
      <c r="I22" s="1"/>
      <c r="J22" s="1"/>
      <c r="K22" s="1">
        <f t="shared" si="3"/>
        <v>58049</v>
      </c>
      <c r="L22" s="1" t="e">
        <f t="shared" si="4"/>
        <v>#N/A</v>
      </c>
    </row>
    <row r="23" spans="1:12" x14ac:dyDescent="0.25">
      <c r="A23" s="8">
        <v>45566</v>
      </c>
      <c r="B23" s="1">
        <f>SUMIFS(tbl_actuals[Revenue], tbl_actuals[Month], A23)</f>
        <v>92095</v>
      </c>
      <c r="C23" s="1">
        <f>SUMIFS(tbl_actuals[Cost], tbl_actuals[Month], A23)</f>
        <v>63999</v>
      </c>
      <c r="D23" s="1">
        <f t="shared" si="0"/>
        <v>28096</v>
      </c>
      <c r="E23" s="1">
        <f>VLOOKUP(A23, tbl_budget[], 2, FALSE)</f>
        <v>88527</v>
      </c>
      <c r="F23" s="1">
        <f>VLOOKUP(A23, tbl_budget[], 3, FALSE)</f>
        <v>58942</v>
      </c>
      <c r="G23" s="1">
        <f t="shared" si="1"/>
        <v>3568</v>
      </c>
      <c r="H23" s="1">
        <f t="shared" si="2"/>
        <v>5057</v>
      </c>
      <c r="I23" s="1"/>
      <c r="J23" s="1"/>
      <c r="K23" s="1">
        <f t="shared" si="3"/>
        <v>92095</v>
      </c>
      <c r="L23" s="1" t="e">
        <f t="shared" si="4"/>
        <v>#N/A</v>
      </c>
    </row>
    <row r="24" spans="1:12" x14ac:dyDescent="0.25">
      <c r="A24" s="8">
        <v>45597</v>
      </c>
      <c r="B24" s="1">
        <f>SUMIFS(tbl_actuals[Revenue], tbl_actuals[Month], A24)</f>
        <v>111635</v>
      </c>
      <c r="C24" s="1">
        <f>SUMIFS(tbl_actuals[Cost], tbl_actuals[Month], A24)</f>
        <v>33822</v>
      </c>
      <c r="D24" s="1">
        <f t="shared" si="0"/>
        <v>77813</v>
      </c>
      <c r="E24" s="1">
        <f>VLOOKUP(A24, tbl_budget[], 2, FALSE)</f>
        <v>101535</v>
      </c>
      <c r="F24" s="1">
        <f>VLOOKUP(A24, tbl_budget[], 3, FALSE)</f>
        <v>36824</v>
      </c>
      <c r="G24" s="1">
        <f t="shared" si="1"/>
        <v>10100</v>
      </c>
      <c r="H24" s="1">
        <f t="shared" si="2"/>
        <v>-3002</v>
      </c>
      <c r="I24" s="1"/>
      <c r="J24" s="1"/>
      <c r="K24" s="1">
        <f t="shared" si="3"/>
        <v>111635</v>
      </c>
      <c r="L24" s="1" t="e">
        <f t="shared" si="4"/>
        <v>#N/A</v>
      </c>
    </row>
    <row r="25" spans="1:12" x14ac:dyDescent="0.25">
      <c r="A25" s="8">
        <v>45627</v>
      </c>
      <c r="B25" s="1">
        <f>SUMIFS(tbl_actuals[Revenue], tbl_actuals[Month], A25)</f>
        <v>52721</v>
      </c>
      <c r="C25" s="1">
        <f>SUMIFS(tbl_actuals[Cost], tbl_actuals[Month], A25)</f>
        <v>34683</v>
      </c>
      <c r="D25" s="1">
        <f t="shared" si="0"/>
        <v>18038</v>
      </c>
      <c r="E25" s="1">
        <f>VLOOKUP(A25, tbl_budget[], 2, FALSE)</f>
        <v>55216</v>
      </c>
      <c r="F25" s="1">
        <f>VLOOKUP(A25, tbl_budget[], 3, FALSE)</f>
        <v>34471</v>
      </c>
      <c r="G25" s="1">
        <f>B25-E25</f>
        <v>-2495</v>
      </c>
      <c r="H25" s="1">
        <f t="shared" si="2"/>
        <v>212</v>
      </c>
      <c r="I25" s="1"/>
      <c r="J25" s="1"/>
      <c r="K25" s="1">
        <f t="shared" si="3"/>
        <v>52721</v>
      </c>
      <c r="L25" s="1">
        <f t="shared" si="4"/>
        <v>52721</v>
      </c>
    </row>
    <row r="26" spans="1:12" x14ac:dyDescent="0.25">
      <c r="A26" s="9">
        <v>45658</v>
      </c>
      <c r="B26" s="7">
        <f>B25 * (1 + $I$2)</f>
        <v>57993.100000000006</v>
      </c>
      <c r="C26" s="7">
        <f>C25*(1+$J$2)</f>
        <v>36417.15</v>
      </c>
      <c r="D26" s="7">
        <f xml:space="preserve"> B26 - C26</f>
        <v>21575.950000000004</v>
      </c>
      <c r="E26" s="7"/>
      <c r="F26" s="7"/>
      <c r="G26" s="7"/>
      <c r="H26" s="7"/>
      <c r="I26" s="7"/>
      <c r="J26" s="7"/>
      <c r="K26" s="7" t="e">
        <f t="shared" si="3"/>
        <v>#N/A</v>
      </c>
      <c r="L26" s="7">
        <f t="shared" si="4"/>
        <v>57993.100000000006</v>
      </c>
    </row>
    <row r="27" spans="1:12" x14ac:dyDescent="0.25">
      <c r="A27" s="9">
        <v>45689</v>
      </c>
      <c r="B27" s="7">
        <f t="shared" ref="B27:B31" si="5">B26 * (1 + $I$2)</f>
        <v>63792.410000000011</v>
      </c>
      <c r="C27" s="7">
        <f t="shared" ref="C27:C31" si="6">C26*(1+$J$2)</f>
        <v>38238.0075</v>
      </c>
      <c r="D27" s="7">
        <f xml:space="preserve"> B27 - C27</f>
        <v>25554.402500000011</v>
      </c>
      <c r="E27" s="7"/>
      <c r="F27" s="7"/>
      <c r="G27" s="7"/>
      <c r="H27" s="7"/>
      <c r="I27" s="7"/>
      <c r="J27" s="7"/>
      <c r="K27" s="7" t="e">
        <f t="shared" si="3"/>
        <v>#N/A</v>
      </c>
      <c r="L27" s="7">
        <f t="shared" si="4"/>
        <v>63792.410000000011</v>
      </c>
    </row>
    <row r="28" spans="1:12" x14ac:dyDescent="0.25">
      <c r="A28" s="9">
        <v>45717</v>
      </c>
      <c r="B28" s="7">
        <f t="shared" si="5"/>
        <v>70171.651000000013</v>
      </c>
      <c r="C28" s="7">
        <f t="shared" si="6"/>
        <v>40149.907875000004</v>
      </c>
      <c r="D28" s="7">
        <f xml:space="preserve"> B28 - C28</f>
        <v>30021.743125000008</v>
      </c>
      <c r="E28" s="7"/>
      <c r="F28" s="7"/>
      <c r="G28" s="7"/>
      <c r="H28" s="7"/>
      <c r="I28" s="7"/>
      <c r="J28" s="7"/>
      <c r="K28" s="7" t="e">
        <f t="shared" si="3"/>
        <v>#N/A</v>
      </c>
      <c r="L28" s="7">
        <f t="shared" si="4"/>
        <v>70171.651000000013</v>
      </c>
    </row>
    <row r="29" spans="1:12" x14ac:dyDescent="0.25">
      <c r="A29" s="9">
        <v>45748</v>
      </c>
      <c r="B29" s="7">
        <f t="shared" si="5"/>
        <v>77188.816100000025</v>
      </c>
      <c r="C29" s="7">
        <f t="shared" si="6"/>
        <v>42157.403268750008</v>
      </c>
      <c r="D29" s="7">
        <f xml:space="preserve"> B29 - C29</f>
        <v>35031.412831250018</v>
      </c>
      <c r="E29" s="7"/>
      <c r="F29" s="7"/>
      <c r="G29" s="7"/>
      <c r="H29" s="7"/>
      <c r="I29" s="7"/>
      <c r="J29" s="7"/>
      <c r="K29" s="7" t="e">
        <f t="shared" si="3"/>
        <v>#N/A</v>
      </c>
      <c r="L29" s="7">
        <f t="shared" si="4"/>
        <v>77188.816100000025</v>
      </c>
    </row>
    <row r="30" spans="1:12" x14ac:dyDescent="0.25">
      <c r="A30" s="9">
        <v>45778</v>
      </c>
      <c r="B30" s="7">
        <f t="shared" si="5"/>
        <v>84907.697710000037</v>
      </c>
      <c r="C30" s="7">
        <f t="shared" si="6"/>
        <v>44265.27343218751</v>
      </c>
      <c r="D30" s="7">
        <f xml:space="preserve"> B30 - C30</f>
        <v>40642.424277812526</v>
      </c>
      <c r="E30" s="7"/>
      <c r="F30" s="7"/>
      <c r="G30" s="7"/>
      <c r="H30" s="7"/>
      <c r="I30" s="7"/>
      <c r="J30" s="7"/>
      <c r="K30" s="7" t="e">
        <f t="shared" si="3"/>
        <v>#N/A</v>
      </c>
      <c r="L30" s="7">
        <f t="shared" si="4"/>
        <v>84907.697710000037</v>
      </c>
    </row>
    <row r="31" spans="1:12" x14ac:dyDescent="0.25">
      <c r="A31" s="9">
        <v>45809</v>
      </c>
      <c r="B31" s="7">
        <f t="shared" si="5"/>
        <v>93398.467481000043</v>
      </c>
      <c r="C31" s="7">
        <f t="shared" si="6"/>
        <v>46478.537103796887</v>
      </c>
      <c r="D31" s="7">
        <f xml:space="preserve"> B31 - C31</f>
        <v>46919.930377203156</v>
      </c>
      <c r="E31" s="7"/>
      <c r="F31" s="7"/>
      <c r="G31" s="7"/>
      <c r="H31" s="7"/>
      <c r="I31" s="7"/>
      <c r="J31" s="7"/>
      <c r="K31" s="7" t="e">
        <f t="shared" si="3"/>
        <v>#N/A</v>
      </c>
      <c r="L31" s="7">
        <f t="shared" si="4"/>
        <v>93398.467481000043</v>
      </c>
    </row>
    <row r="38" spans="7:9" x14ac:dyDescent="0.25">
      <c r="G38" s="11" t="s">
        <v>50</v>
      </c>
      <c r="H38" s="11"/>
    </row>
    <row r="40" spans="7:9" x14ac:dyDescent="0.25">
      <c r="G40" s="5" t="s">
        <v>45</v>
      </c>
      <c r="H40" s="6"/>
      <c r="I40" s="6"/>
    </row>
    <row r="41" spans="7:9" x14ac:dyDescent="0.25">
      <c r="G41" s="6"/>
      <c r="H41" s="6"/>
      <c r="I41" s="6"/>
    </row>
    <row r="42" spans="7:9" x14ac:dyDescent="0.25">
      <c r="G42" s="6"/>
      <c r="H42" s="6"/>
      <c r="I42" s="6"/>
    </row>
    <row r="43" spans="7:9" x14ac:dyDescent="0.25">
      <c r="G43" s="6"/>
      <c r="H43" s="6"/>
      <c r="I43" s="6"/>
    </row>
    <row r="44" spans="7:9" x14ac:dyDescent="0.25">
      <c r="G44" s="6"/>
      <c r="H44" s="6"/>
      <c r="I44" s="6"/>
    </row>
    <row r="45" spans="7:9" x14ac:dyDescent="0.25">
      <c r="G45" s="6"/>
      <c r="H45" s="6"/>
      <c r="I45" s="6"/>
    </row>
    <row r="46" spans="7:9" x14ac:dyDescent="0.25">
      <c r="G46" s="6"/>
      <c r="H46" s="6"/>
      <c r="I46" s="6"/>
    </row>
  </sheetData>
  <mergeCells count="2">
    <mergeCell ref="G40:I46"/>
    <mergeCell ref="G38:H38"/>
  </mergeCells>
  <phoneticPr fontId="2" type="noConversion"/>
  <conditionalFormatting sqref="G2:G31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H2:H3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ignoredErrors>
    <ignoredError sqref="B26:B31 C26:C31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62F38-977B-4948-9BDF-6C0E459D2CD8}">
  <dimension ref="C1:M7"/>
  <sheetViews>
    <sheetView showGridLines="0" tabSelected="1" workbookViewId="0">
      <selection activeCell="H9" sqref="H9"/>
    </sheetView>
  </sheetViews>
  <sheetFormatPr defaultRowHeight="15" x14ac:dyDescent="0.25"/>
  <cols>
    <col min="3" max="3" width="14.28515625" customWidth="1"/>
    <col min="5" max="5" width="11.28515625" customWidth="1"/>
    <col min="7" max="7" width="14.85546875" style="4" customWidth="1"/>
    <col min="11" max="11" width="12.28515625" customWidth="1"/>
  </cols>
  <sheetData>
    <row r="1" spans="3:13" ht="23.25" x14ac:dyDescent="0.35">
      <c r="F1" s="17" t="s">
        <v>51</v>
      </c>
      <c r="G1" s="17"/>
      <c r="H1" s="17"/>
      <c r="I1" s="17"/>
      <c r="J1" s="17"/>
      <c r="K1" s="17"/>
      <c r="L1" s="12"/>
      <c r="M1" s="4"/>
    </row>
    <row r="2" spans="3:13" ht="21" x14ac:dyDescent="0.35">
      <c r="H2" s="12"/>
      <c r="I2" s="12"/>
      <c r="J2" s="12"/>
      <c r="K2" s="12"/>
      <c r="L2" s="12"/>
      <c r="M2" s="4"/>
    </row>
    <row r="3" spans="3:13" ht="21" x14ac:dyDescent="0.35">
      <c r="H3" s="12"/>
      <c r="I3" s="12"/>
      <c r="J3" s="12"/>
      <c r="K3" s="12"/>
      <c r="L3" s="12"/>
      <c r="M3" s="4"/>
    </row>
    <row r="4" spans="3:13" ht="21" x14ac:dyDescent="0.35">
      <c r="H4" s="12"/>
      <c r="I4" s="12"/>
      <c r="J4" s="12"/>
      <c r="K4" s="12"/>
      <c r="L4" s="12"/>
      <c r="M4" s="4"/>
    </row>
    <row r="6" spans="3:13" x14ac:dyDescent="0.25">
      <c r="C6" s="13" t="s">
        <v>52</v>
      </c>
      <c r="E6" s="15" t="s">
        <v>53</v>
      </c>
      <c r="G6" s="16" t="s">
        <v>54</v>
      </c>
    </row>
    <row r="7" spans="3:13" x14ac:dyDescent="0.25">
      <c r="C7" s="14">
        <f>SUM(Income_Statement!B:B)</f>
        <v>2599707.1422910001</v>
      </c>
      <c r="E7" s="15">
        <f>SUM(Income_Statement!D:D)</f>
        <v>888112.86311126559</v>
      </c>
      <c r="G7" s="16">
        <f>E7/C7</f>
        <v>0.34162034971701211</v>
      </c>
    </row>
  </sheetData>
  <mergeCells count="1">
    <mergeCell ref="F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Actuals</vt:lpstr>
      <vt:lpstr>Budget</vt:lpstr>
      <vt:lpstr>Assumptions</vt:lpstr>
      <vt:lpstr>Income_Statement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Sharma</cp:lastModifiedBy>
  <dcterms:created xsi:type="dcterms:W3CDTF">2026-05-05T09:50:22Z</dcterms:created>
  <dcterms:modified xsi:type="dcterms:W3CDTF">2026-05-06T11:15:55Z</dcterms:modified>
</cp:coreProperties>
</file>
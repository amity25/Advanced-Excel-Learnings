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hidePivotFieldList="1" defaultThemeVersion="166925"/>
  <mc:AlternateContent xmlns:mc="http://schemas.openxmlformats.org/markup-compatibility/2006">
    <mc:Choice Requires="x15">
      <x15ac:absPath xmlns:x15ac="http://schemas.microsoft.com/office/spreadsheetml/2010/11/ac" url="C:\Users\amita\Desktop\"/>
    </mc:Choice>
  </mc:AlternateContent>
  <xr:revisionPtr revIDLastSave="0" documentId="13_ncr:1_{40AF0EBE-608C-4525-B740-B32D8600C942}" xr6:coauthVersionLast="47" xr6:coauthVersionMax="47" xr10:uidLastSave="{00000000-0000-0000-0000-000000000000}"/>
  <bookViews>
    <workbookView xWindow="-120" yWindow="-120" windowWidth="20730" windowHeight="11280" activeTab="3" xr2:uid="{04817563-3E0E-4FC6-94E4-7838E1ED1E2A}"/>
  </bookViews>
  <sheets>
    <sheet name="HR_Data" sheetId="1" r:id="rId1"/>
    <sheet name="Pivots" sheetId="4" r:id="rId2"/>
    <sheet name="Charts" sheetId="5" r:id="rId3"/>
    <sheet name="Dashboard" sheetId="6" r:id="rId4"/>
  </sheets>
  <definedNames>
    <definedName name="Slicer_Department">#N/A</definedName>
    <definedName name="Slicer_Gender">#N/A</definedName>
    <definedName name="Slicer_Location">#N/A</definedName>
    <definedName name="Slicer_Risk_Level">#N/A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6" l="1"/>
  <c r="A1" i="6"/>
  <c r="O8" i="6"/>
  <c r="L8" i="6"/>
  <c r="F8" i="6"/>
  <c r="C8" i="6"/>
  <c r="E2" i="1" a="1"/>
  <c r="E2" i="1" s="1"/>
  <c r="M2" i="1"/>
  <c r="I2" i="1"/>
  <c r="W2" i="1" s="1" a="1"/>
  <c r="W2" i="1" s="1"/>
  <c r="M3" i="1"/>
  <c r="M4" i="1"/>
  <c r="M5" i="1"/>
  <c r="E3" i="1" a="1"/>
  <c r="E3" i="1" s="1"/>
  <c r="E4" i="1" a="1"/>
  <c r="E4" i="1" s="1"/>
  <c r="E5" i="1" a="1"/>
  <c r="E5" i="1" s="1"/>
  <c r="I5" i="1"/>
  <c r="W5" i="1" s="1" a="1"/>
  <c r="W5" i="1" s="1"/>
  <c r="I3" i="1"/>
  <c r="W3" i="1" s="1" a="1"/>
  <c r="W3" i="1" s="1"/>
  <c r="I4" i="1"/>
  <c r="W4" i="1" s="1" a="1"/>
  <c r="W4"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sharma</author>
  </authors>
  <commentList>
    <comment ref="W1" authorId="0" shapeId="0" xr:uid="{4A3D081B-F757-40E3-850A-381AB8DCC9D8}">
      <text>
        <r>
          <rPr>
            <b/>
            <sz val="9"/>
            <color indexed="81"/>
            <rFont val="Tahoma"/>
            <family val="2"/>
          </rPr>
          <t>amit sharma:</t>
        </r>
        <r>
          <rPr>
            <sz val="9"/>
            <color indexed="81"/>
            <rFont val="Tahoma"/>
            <family val="2"/>
          </rPr>
          <t xml:space="preserve">
Risk Level - “Which employees are more likely to leave the company in future?”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<sst xmlns="http://schemas.openxmlformats.org/spreadsheetml/2006/main" count="124" uniqueCount="81">
  <si>
    <t>Employee_ID</t>
  </si>
  <si>
    <t>Name</t>
  </si>
  <si>
    <t>Gender</t>
  </si>
  <si>
    <t>Age</t>
  </si>
  <si>
    <t>Department</t>
  </si>
  <si>
    <t>Attrition</t>
  </si>
  <si>
    <t>Salary</t>
  </si>
  <si>
    <t>Overtime</t>
  </si>
  <si>
    <t>Manager</t>
  </si>
  <si>
    <t>Location</t>
  </si>
  <si>
    <t>EMP001</t>
  </si>
  <si>
    <t>Rahul Sharma</t>
  </si>
  <si>
    <t>Male</t>
  </si>
  <si>
    <t>Sales</t>
  </si>
  <si>
    <t>Executive</t>
  </si>
  <si>
    <t>No</t>
  </si>
  <si>
    <t>Yes</t>
  </si>
  <si>
    <t>Poor</t>
  </si>
  <si>
    <t>Medium</t>
  </si>
  <si>
    <t>Amit Verma</t>
  </si>
  <si>
    <t>Delhi</t>
  </si>
  <si>
    <t>EMP002</t>
  </si>
  <si>
    <t>Priya Singh</t>
  </si>
  <si>
    <t>Female</t>
  </si>
  <si>
    <t>HR</t>
  </si>
  <si>
    <t>Better Offer</t>
  </si>
  <si>
    <t>Good</t>
  </si>
  <si>
    <t>High</t>
  </si>
  <si>
    <t>Neha Kapoor</t>
  </si>
  <si>
    <t>Mumbai</t>
  </si>
  <si>
    <t>EMP003</t>
  </si>
  <si>
    <t>Karan Mehta</t>
  </si>
  <si>
    <t>IT</t>
  </si>
  <si>
    <t>Analyst</t>
  </si>
  <si>
    <t>Rohit Saini</t>
  </si>
  <si>
    <t>Bangalore</t>
  </si>
  <si>
    <t>EMP004</t>
  </si>
  <si>
    <t>Sneha Arora</t>
  </si>
  <si>
    <t>Finance</t>
  </si>
  <si>
    <t>Associate</t>
  </si>
  <si>
    <t>Stress</t>
  </si>
  <si>
    <t>Low</t>
  </si>
  <si>
    <t>Kavita Jain</t>
  </si>
  <si>
    <t>Pune</t>
  </si>
  <si>
    <t>Tenure</t>
  </si>
  <si>
    <t>Job Role</t>
  </si>
  <si>
    <t>Hire Date</t>
  </si>
  <si>
    <t>Exit Date</t>
  </si>
  <si>
    <t>Attrition Reason</t>
  </si>
  <si>
    <t>Performance Rating</t>
  </si>
  <si>
    <t>Work Life Balance</t>
  </si>
  <si>
    <t>Job Satisfaction</t>
  </si>
  <si>
    <t>Training Hours</t>
  </si>
  <si>
    <t>Promotion Last 5Yrs</t>
  </si>
  <si>
    <t>Age Group</t>
  </si>
  <si>
    <t>Attrition Flag</t>
  </si>
  <si>
    <t>Risk Level</t>
  </si>
  <si>
    <t>Row Labels</t>
  </si>
  <si>
    <t>Grand Total</t>
  </si>
  <si>
    <t>Count of Employee_ID</t>
  </si>
  <si>
    <t>Attrition Rate</t>
  </si>
  <si>
    <t>Department Attrition</t>
  </si>
  <si>
    <t>Sum of Attrition Flag</t>
  </si>
  <si>
    <t>Hiring Trend</t>
  </si>
  <si>
    <t>2019</t>
  </si>
  <si>
    <t>2020</t>
  </si>
  <si>
    <t>2021</t>
  </si>
  <si>
    <t>2022</t>
  </si>
  <si>
    <t>Gender Distribution</t>
  </si>
  <si>
    <t>Job Role Attrition</t>
  </si>
  <si>
    <t>Risk Level Summary</t>
  </si>
  <si>
    <t>High Risk</t>
  </si>
  <si>
    <t>Low Risk</t>
  </si>
  <si>
    <t>Medium Risk</t>
  </si>
  <si>
    <t>calculated columns</t>
  </si>
  <si>
    <t>Total Employees</t>
  </si>
  <si>
    <t>Active Employees</t>
  </si>
  <si>
    <t>Employees Left</t>
  </si>
  <si>
    <t>Average Salary</t>
  </si>
  <si>
    <t>Key Insights</t>
  </si>
  <si>
    <t>Sales department has highest attrition.
Employees with overtime are more likely to resign.
Lack of promotion increases resignation risk.
Employees aged 25–35 leave most frequently.
Low job satisfaction strongly impacts retention.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</si>
</sst>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 #,##0.00"/>
  </numFmts>
  <fonts count="16"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4"/>
      <color theme="1"/>
      <name val="Calibri"/>
      <family val="2"/>
      <scheme val="minor"/>
    </font>
    <font>
      <b/>
      <sz val="14"/>
      <color theme="1"/>
      <name val="Calibri"/>
      <family val="2"/>
      <scheme val="minor"/>
    </font>
    <font>
      <b/>
      <sz val="24"/>
      <color theme="0"/>
      <name val="Calibri"/>
      <family val="2"/>
      <scheme val="minor"/>
    </font>
    <font>
      <b/>
      <sz val="13"/>
      <color theme="0"/>
      <name val="Calibri"/>
      <family val="2"/>
      <scheme val="minor"/>
    </font>
    <font>
      <b/>
      <sz val="26"/>
      <color rgb="FFFF0000"/>
      <name val="Calibri"/>
      <family val="2"/>
      <scheme val="minor"/>
    </font>
    <font>
      <b/>
      <sz val="26"/>
      <color rgb="FF7030A0"/>
      <name val="Calibri"/>
      <family val="2"/>
      <scheme val="minor"/>
    </font>
    <font>
      <b/>
      <sz val="20"/>
      <color rgb="FF002060"/>
      <name val="Calibri"/>
      <family val="2"/>
      <scheme val="minor"/>
    </font>
    <font>
      <b/>
      <sz val="26"/>
      <color theme="9" tint="-0.249977111117893"/>
      <name val="Calibri"/>
      <family val="2"/>
      <scheme val="minor"/>
    </font>
    <font>
      <b/>
      <sz val="26"/>
      <color theme="4"/>
      <name val="Calibri"/>
      <family val="2"/>
      <scheme val="minor"/>
    </font>
    <font>
      <b/>
      <sz val="18"/>
      <color theme="0"/>
      <name val="Calibri"/>
      <family val="2"/>
      <scheme val="minor"/>
    </font>
    <font>
      <b/>
      <sz val="26"/>
      <color rgb="FFC00000"/>
      <name val="Calibri"/>
      <family val="2"/>
      <scheme val="minor"/>
    </font>
    <font>
      <b/>
      <sz val="12"/>
      <name val="Calibri"/>
      <family val="2"/>
      <scheme val="minor"/>
    </font>
  </fonts>
  <fills count="17">
    <fill>
      <patternFill patternType="none"/>
    </fill>
    <fill>
      <patternFill patternType="gray125"/>
    </fill>
    <fill>
      <patternFill patternType="solid">
        <fgColor theme="2"/>
        <bgColor indexed="64"/>
      </patternFill>
    </fill>
    <fill>
      <patternFill patternType="solid">
        <fgColor theme="5"/>
        <bgColor indexed="64"/>
      </patternFill>
    </fill>
    <fill>
      <patternFill patternType="solid">
        <fgColor theme="4"/>
        <bgColor indexed="64"/>
      </patternFill>
    </fill>
    <fill>
      <patternFill patternType="solid">
        <fgColor theme="4" tint="-0.499984740745262"/>
        <bgColor indexed="64"/>
      </patternFill>
    </fill>
    <fill>
      <patternFill patternType="solid">
        <fgColor theme="9" tint="-0.249977111117893"/>
        <bgColor indexed="64"/>
      </patternFill>
    </fill>
    <fill>
      <patternFill patternType="solid">
        <fgColor rgb="FF7030A0"/>
        <bgColor indexed="64"/>
      </patternFill>
    </fill>
    <fill>
      <patternFill patternType="solid">
        <fgColor rgb="FF002060"/>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rgb="FFC00000"/>
        <bgColor indexed="64"/>
      </patternFill>
    </fill>
    <fill>
      <patternFill patternType="solid">
        <fgColor theme="0" tint="-4.9989318521683403E-2"/>
        <bgColor indexed="64"/>
      </patternFill>
    </fill>
  </fills>
  <borders count="39">
    <border>
      <left/>
      <right/>
      <top/>
      <bottom/>
      <diagonal/>
    </border>
    <border>
      <left style="thin">
        <color theme="4"/>
      </left>
      <right/>
      <top style="thin">
        <color theme="4"/>
      </top>
      <bottom/>
      <diagonal/>
    </border>
    <border>
      <left/>
      <right style="thin">
        <color theme="4"/>
      </right>
      <top style="thin">
        <color theme="4"/>
      </top>
      <bottom/>
      <diagonal/>
    </border>
    <border>
      <left style="thin">
        <color theme="4"/>
      </left>
      <right/>
      <top/>
      <bottom/>
      <diagonal/>
    </border>
    <border>
      <left/>
      <right style="thin">
        <color theme="4"/>
      </right>
      <top/>
      <bottom/>
      <diagonal/>
    </border>
    <border>
      <left style="thin">
        <color theme="4"/>
      </left>
      <right/>
      <top/>
      <bottom style="thin">
        <color theme="4"/>
      </bottom>
      <diagonal/>
    </border>
    <border>
      <left/>
      <right style="thin">
        <color theme="4"/>
      </right>
      <top/>
      <bottom style="thin">
        <color theme="4"/>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style="thin">
        <color theme="9" tint="-0.24994659260841701"/>
      </left>
      <right/>
      <top style="thin">
        <color theme="9" tint="-0.24994659260841701"/>
      </top>
      <bottom/>
      <diagonal/>
    </border>
    <border>
      <left/>
      <right style="thin">
        <color theme="9" tint="-0.24994659260841701"/>
      </right>
      <top style="thin">
        <color theme="9" tint="-0.24994659260841701"/>
      </top>
      <bottom/>
      <diagonal/>
    </border>
    <border>
      <left style="thin">
        <color theme="9" tint="-0.24994659260841701"/>
      </left>
      <right/>
      <top/>
      <bottom/>
      <diagonal/>
    </border>
    <border>
      <left/>
      <right style="thin">
        <color theme="9" tint="-0.24994659260841701"/>
      </right>
      <top/>
      <bottom/>
      <diagonal/>
    </border>
    <border>
      <left style="thin">
        <color theme="9" tint="-0.24994659260841701"/>
      </left>
      <right/>
      <top/>
      <bottom style="thin">
        <color theme="9" tint="-0.24994659260841701"/>
      </bottom>
      <diagonal/>
    </border>
    <border>
      <left/>
      <right style="thin">
        <color theme="9" tint="-0.24994659260841701"/>
      </right>
      <top/>
      <bottom style="thin">
        <color theme="9" tint="-0.24994659260841701"/>
      </bottom>
      <diagonal/>
    </border>
    <border>
      <left style="thin">
        <color rgb="FF7030A0"/>
      </left>
      <right/>
      <top style="thin">
        <color rgb="FF7030A0"/>
      </top>
      <bottom/>
      <diagonal/>
    </border>
    <border>
      <left/>
      <right style="thin">
        <color rgb="FF7030A0"/>
      </right>
      <top style="thin">
        <color rgb="FF7030A0"/>
      </top>
      <bottom/>
      <diagonal/>
    </border>
    <border>
      <left style="thin">
        <color rgb="FF7030A0"/>
      </left>
      <right/>
      <top/>
      <bottom/>
      <diagonal/>
    </border>
    <border>
      <left/>
      <right style="thin">
        <color rgb="FF7030A0"/>
      </right>
      <top/>
      <bottom/>
      <diagonal/>
    </border>
    <border>
      <left style="thin">
        <color rgb="FF7030A0"/>
      </left>
      <right/>
      <top/>
      <bottom style="thin">
        <color rgb="FF7030A0"/>
      </bottom>
      <diagonal/>
    </border>
    <border>
      <left/>
      <right style="thin">
        <color rgb="FF7030A0"/>
      </right>
      <top/>
      <bottom style="thin">
        <color rgb="FF7030A0"/>
      </bottom>
      <diagonal/>
    </border>
    <border>
      <left style="thin">
        <color rgb="FF002060"/>
      </left>
      <right/>
      <top style="thin">
        <color rgb="FF002060"/>
      </top>
      <bottom/>
      <diagonal/>
    </border>
    <border>
      <left/>
      <right style="thin">
        <color rgb="FF002060"/>
      </right>
      <top style="thin">
        <color rgb="FF002060"/>
      </top>
      <bottom/>
      <diagonal/>
    </border>
    <border>
      <left style="thin">
        <color rgb="FF002060"/>
      </left>
      <right/>
      <top/>
      <bottom/>
      <diagonal/>
    </border>
    <border>
      <left/>
      <right style="thin">
        <color rgb="FF002060"/>
      </right>
      <top/>
      <bottom/>
      <diagonal/>
    </border>
    <border>
      <left style="thin">
        <color rgb="FF002060"/>
      </left>
      <right/>
      <top/>
      <bottom style="thin">
        <color rgb="FF002060"/>
      </bottom>
      <diagonal/>
    </border>
    <border>
      <left/>
      <right style="thin">
        <color rgb="FF002060"/>
      </right>
      <top/>
      <bottom style="thin">
        <color rgb="FF002060"/>
      </bottom>
      <diagonal/>
    </border>
    <border>
      <left style="thin">
        <color theme="3"/>
      </left>
      <right/>
      <top style="thin">
        <color theme="3"/>
      </top>
      <bottom/>
      <diagonal/>
    </border>
    <border>
      <left/>
      <right/>
      <top style="thin">
        <color theme="3"/>
      </top>
      <bottom/>
      <diagonal/>
    </border>
    <border>
      <left/>
      <right style="thin">
        <color theme="3"/>
      </right>
      <top style="thin">
        <color theme="3"/>
      </top>
      <bottom/>
      <diagonal/>
    </border>
    <border>
      <left style="thin">
        <color theme="3"/>
      </left>
      <right/>
      <top/>
      <bottom/>
      <diagonal/>
    </border>
    <border>
      <left/>
      <right style="thin">
        <color theme="3"/>
      </right>
      <top/>
      <bottom/>
      <diagonal/>
    </border>
    <border>
      <left style="thin">
        <color theme="3"/>
      </left>
      <right/>
      <top/>
      <bottom style="thin">
        <color theme="3"/>
      </bottom>
      <diagonal/>
    </border>
    <border>
      <left/>
      <right/>
      <top/>
      <bottom style="thin">
        <color theme="3"/>
      </bottom>
      <diagonal/>
    </border>
    <border>
      <left/>
      <right style="thin">
        <color theme="3"/>
      </right>
      <top/>
      <bottom style="thin">
        <color theme="3"/>
      </bottom>
      <diagonal/>
    </border>
  </borders>
  <cellStyleXfs count="1">
    <xf numFmtId="0" fontId="0" fillId="0" borderId="0"/>
  </cellStyleXfs>
  <cellXfs count="92">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15"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1" fillId="3" borderId="0" xfId="0" applyFont="1" applyFill="1" applyAlignment="1">
      <alignment horizontal="center" vertical="center" wrapText="1"/>
    </xf>
    <xf numFmtId="0" fontId="4" fillId="3" borderId="0" xfId="0" applyFont="1" applyFill="1" applyAlignment="1">
      <alignment horizontal="center"/>
    </xf>
    <xf numFmtId="0" fontId="5" fillId="2" borderId="0" xfId="0" applyFont="1" applyFill="1" applyAlignment="1">
      <alignment horizontal="center"/>
    </xf>
    <xf numFmtId="0" fontId="0" fillId="0" borderId="0" xfId="0" applyAlignment="1">
      <alignment horizontal="center"/>
    </xf>
    <xf numFmtId="0" fontId="0" fillId="0" borderId="0" xfId="0" applyAlignment="1">
      <alignment horizontal="center"/>
    </xf>
    <xf numFmtId="0" fontId="0" fillId="0" borderId="0" xfId="0" applyFill="1"/>
    <xf numFmtId="0" fontId="0" fillId="0" borderId="0" xfId="0" applyFill="1" applyAlignment="1">
      <alignment horizontal="center"/>
    </xf>
    <xf numFmtId="0" fontId="12" fillId="0" borderId="0" xfId="0" applyFont="1" applyFill="1" applyBorder="1" applyAlignment="1">
      <alignment horizontal="center"/>
    </xf>
    <xf numFmtId="0" fontId="11" fillId="0" borderId="0" xfId="0" applyFont="1" applyFill="1" applyBorder="1" applyAlignment="1">
      <alignment horizontal="center"/>
    </xf>
    <xf numFmtId="0" fontId="8" fillId="0" borderId="0" xfId="0" applyFont="1" applyFill="1" applyBorder="1" applyAlignment="1">
      <alignment horizontal="center"/>
    </xf>
    <xf numFmtId="0" fontId="9" fillId="0" borderId="0" xfId="0" applyFont="1" applyFill="1" applyBorder="1" applyAlignment="1">
      <alignment horizontal="center"/>
    </xf>
    <xf numFmtId="165" fontId="10" fillId="0" borderId="0" xfId="0" applyNumberFormat="1" applyFont="1" applyFill="1" applyBorder="1" applyAlignment="1">
      <alignment horizontal="center"/>
    </xf>
    <xf numFmtId="0" fontId="7" fillId="4" borderId="1" xfId="0" applyFont="1" applyFill="1" applyBorder="1" applyAlignment="1">
      <alignment horizontal="center"/>
    </xf>
    <xf numFmtId="0" fontId="7" fillId="4" borderId="2" xfId="0" applyFont="1" applyFill="1" applyBorder="1" applyAlignment="1">
      <alignment horizontal="center"/>
    </xf>
    <xf numFmtId="0" fontId="7" fillId="6" borderId="13" xfId="0" applyFont="1" applyFill="1" applyBorder="1" applyAlignment="1">
      <alignment horizontal="center"/>
    </xf>
    <xf numFmtId="0" fontId="7" fillId="6" borderId="14" xfId="0" applyFont="1" applyFill="1" applyBorder="1" applyAlignment="1">
      <alignment horizontal="center"/>
    </xf>
    <xf numFmtId="0" fontId="7" fillId="7" borderId="19" xfId="0" applyFont="1" applyFill="1" applyBorder="1" applyAlignment="1">
      <alignment horizontal="center"/>
    </xf>
    <xf numFmtId="0" fontId="7" fillId="7" borderId="20" xfId="0" applyFont="1" applyFill="1" applyBorder="1" applyAlignment="1">
      <alignment horizontal="center"/>
    </xf>
    <xf numFmtId="0" fontId="7" fillId="8" borderId="25" xfId="0" applyFont="1" applyFill="1" applyBorder="1" applyAlignment="1">
      <alignment horizontal="center"/>
    </xf>
    <xf numFmtId="0" fontId="7" fillId="8" borderId="26" xfId="0" applyFont="1" applyFill="1" applyBorder="1" applyAlignment="1">
      <alignment horizontal="center"/>
    </xf>
    <xf numFmtId="0" fontId="7" fillId="4" borderId="3" xfId="0" applyFont="1" applyFill="1" applyBorder="1" applyAlignment="1">
      <alignment horizontal="center"/>
    </xf>
    <xf numFmtId="0" fontId="7" fillId="4" borderId="4" xfId="0" applyFont="1" applyFill="1" applyBorder="1" applyAlignment="1">
      <alignment horizontal="center"/>
    </xf>
    <xf numFmtId="0" fontId="7" fillId="6" borderId="15" xfId="0" applyFont="1" applyFill="1" applyBorder="1" applyAlignment="1">
      <alignment horizontal="center"/>
    </xf>
    <xf numFmtId="0" fontId="7" fillId="6" borderId="16" xfId="0" applyFont="1" applyFill="1" applyBorder="1" applyAlignment="1">
      <alignment horizontal="center"/>
    </xf>
    <xf numFmtId="0" fontId="7" fillId="7" borderId="21" xfId="0" applyFont="1" applyFill="1" applyBorder="1" applyAlignment="1">
      <alignment horizontal="center"/>
    </xf>
    <xf numFmtId="0" fontId="7" fillId="7" borderId="22" xfId="0" applyFont="1" applyFill="1" applyBorder="1" applyAlignment="1">
      <alignment horizontal="center"/>
    </xf>
    <xf numFmtId="0" fontId="7" fillId="8" borderId="27" xfId="0" applyFont="1" applyFill="1" applyBorder="1" applyAlignment="1">
      <alignment horizontal="center"/>
    </xf>
    <xf numFmtId="0" fontId="7" fillId="8" borderId="28" xfId="0" applyFont="1" applyFill="1" applyBorder="1" applyAlignment="1">
      <alignment horizontal="center"/>
    </xf>
    <xf numFmtId="0" fontId="0" fillId="0" borderId="0" xfId="0" applyNumberFormat="1"/>
    <xf numFmtId="0" fontId="13" fillId="5" borderId="0" xfId="0" applyFont="1" applyFill="1" applyAlignment="1">
      <alignment horizontal="center" vertical="center"/>
    </xf>
    <xf numFmtId="0" fontId="6" fillId="9" borderId="0" xfId="0" applyFont="1" applyFill="1" applyAlignment="1">
      <alignment horizontal="center"/>
    </xf>
    <xf numFmtId="0" fontId="13" fillId="9" borderId="0" xfId="0" applyFont="1" applyFill="1" applyAlignment="1">
      <alignment horizontal="center" vertical="center"/>
    </xf>
    <xf numFmtId="0" fontId="12" fillId="10" borderId="3" xfId="0" applyFont="1" applyFill="1" applyBorder="1" applyAlignment="1">
      <alignment horizontal="center"/>
    </xf>
    <xf numFmtId="0" fontId="12" fillId="10" borderId="4" xfId="0" applyFont="1" applyFill="1" applyBorder="1" applyAlignment="1">
      <alignment horizontal="center"/>
    </xf>
    <xf numFmtId="0" fontId="12" fillId="10" borderId="3" xfId="0" applyFont="1" applyFill="1" applyBorder="1" applyAlignment="1">
      <alignment horizontal="center"/>
    </xf>
    <xf numFmtId="0" fontId="12" fillId="10" borderId="4" xfId="0" applyFont="1" applyFill="1" applyBorder="1" applyAlignment="1">
      <alignment horizontal="center"/>
    </xf>
    <xf numFmtId="0" fontId="12" fillId="10" borderId="5" xfId="0" applyFont="1" applyFill="1" applyBorder="1" applyAlignment="1">
      <alignment horizontal="center"/>
    </xf>
    <xf numFmtId="0" fontId="12" fillId="10" borderId="6" xfId="0" applyFont="1" applyFill="1" applyBorder="1" applyAlignment="1">
      <alignment horizontal="center"/>
    </xf>
    <xf numFmtId="0" fontId="11" fillId="11" borderId="15" xfId="0" applyFont="1" applyFill="1" applyBorder="1" applyAlignment="1">
      <alignment horizontal="center"/>
    </xf>
    <xf numFmtId="0" fontId="11" fillId="11" borderId="16" xfId="0" applyFont="1" applyFill="1" applyBorder="1" applyAlignment="1">
      <alignment horizontal="center"/>
    </xf>
    <xf numFmtId="0" fontId="11" fillId="11" borderId="15" xfId="0" applyFont="1" applyFill="1" applyBorder="1" applyAlignment="1">
      <alignment horizontal="center"/>
    </xf>
    <xf numFmtId="0" fontId="11" fillId="11" borderId="16" xfId="0" applyFont="1" applyFill="1" applyBorder="1" applyAlignment="1">
      <alignment horizontal="center"/>
    </xf>
    <xf numFmtId="0" fontId="11" fillId="11" borderId="17" xfId="0" applyFont="1" applyFill="1" applyBorder="1" applyAlignment="1">
      <alignment horizontal="center"/>
    </xf>
    <xf numFmtId="0" fontId="11" fillId="11" borderId="18" xfId="0" applyFont="1" applyFill="1" applyBorder="1" applyAlignment="1">
      <alignment horizontal="center"/>
    </xf>
    <xf numFmtId="0" fontId="8" fillId="12" borderId="9" xfId="0" applyFont="1" applyFill="1" applyBorder="1" applyAlignment="1">
      <alignment horizontal="center"/>
    </xf>
    <xf numFmtId="0" fontId="8" fillId="12" borderId="10" xfId="0" applyFont="1" applyFill="1" applyBorder="1" applyAlignment="1">
      <alignment horizontal="center"/>
    </xf>
    <xf numFmtId="0" fontId="9" fillId="13" borderId="21" xfId="0" applyFont="1" applyFill="1" applyBorder="1" applyAlignment="1">
      <alignment horizontal="center"/>
    </xf>
    <xf numFmtId="0" fontId="9" fillId="13" borderId="22" xfId="0" applyFont="1" applyFill="1" applyBorder="1" applyAlignment="1">
      <alignment horizontal="center"/>
    </xf>
    <xf numFmtId="0" fontId="9" fillId="13" borderId="21" xfId="0" applyFont="1" applyFill="1" applyBorder="1" applyAlignment="1">
      <alignment horizontal="center"/>
    </xf>
    <xf numFmtId="0" fontId="9" fillId="13" borderId="22" xfId="0" applyFont="1" applyFill="1" applyBorder="1" applyAlignment="1">
      <alignment horizontal="center"/>
    </xf>
    <xf numFmtId="0" fontId="9" fillId="13" borderId="23" xfId="0" applyFont="1" applyFill="1" applyBorder="1" applyAlignment="1">
      <alignment horizontal="center"/>
    </xf>
    <xf numFmtId="0" fontId="9" fillId="13" borderId="24" xfId="0" applyFont="1" applyFill="1" applyBorder="1" applyAlignment="1">
      <alignment horizontal="center"/>
    </xf>
    <xf numFmtId="165" fontId="10" fillId="14" borderId="27" xfId="0" applyNumberFormat="1" applyFont="1" applyFill="1" applyBorder="1" applyAlignment="1">
      <alignment horizontal="center"/>
    </xf>
    <xf numFmtId="165" fontId="10" fillId="14" borderId="28" xfId="0" applyNumberFormat="1" applyFont="1" applyFill="1" applyBorder="1" applyAlignment="1">
      <alignment horizontal="center"/>
    </xf>
    <xf numFmtId="165" fontId="10" fillId="14" borderId="27" xfId="0" applyNumberFormat="1" applyFont="1" applyFill="1" applyBorder="1" applyAlignment="1">
      <alignment horizontal="center"/>
    </xf>
    <xf numFmtId="165" fontId="10" fillId="14" borderId="28" xfId="0" applyNumberFormat="1" applyFont="1" applyFill="1" applyBorder="1" applyAlignment="1">
      <alignment horizontal="center"/>
    </xf>
    <xf numFmtId="165" fontId="10" fillId="14" borderId="29" xfId="0" applyNumberFormat="1" applyFont="1" applyFill="1" applyBorder="1" applyAlignment="1">
      <alignment horizontal="center"/>
    </xf>
    <xf numFmtId="165" fontId="10" fillId="14" borderId="30" xfId="0" applyNumberFormat="1" applyFont="1" applyFill="1" applyBorder="1" applyAlignment="1">
      <alignment horizontal="center"/>
    </xf>
    <xf numFmtId="0" fontId="7" fillId="15" borderId="7" xfId="0" applyFont="1" applyFill="1" applyBorder="1" applyAlignment="1">
      <alignment horizontal="center"/>
    </xf>
    <xf numFmtId="0" fontId="7" fillId="15" borderId="8" xfId="0" applyFont="1" applyFill="1" applyBorder="1" applyAlignment="1">
      <alignment horizontal="center"/>
    </xf>
    <xf numFmtId="0" fontId="7" fillId="15" borderId="9" xfId="0" applyFont="1" applyFill="1" applyBorder="1" applyAlignment="1">
      <alignment horizontal="center"/>
    </xf>
    <xf numFmtId="0" fontId="7" fillId="15" borderId="10" xfId="0" applyFont="1" applyFill="1" applyBorder="1" applyAlignment="1">
      <alignment horizontal="center"/>
    </xf>
    <xf numFmtId="0" fontId="14" fillId="12" borderId="9" xfId="0" applyFont="1" applyFill="1" applyBorder="1" applyAlignment="1">
      <alignment horizontal="center"/>
    </xf>
    <xf numFmtId="0" fontId="14" fillId="12" borderId="10" xfId="0" applyFont="1" applyFill="1" applyBorder="1" applyAlignment="1">
      <alignment horizontal="center"/>
    </xf>
    <xf numFmtId="0" fontId="14" fillId="12" borderId="11" xfId="0" applyFont="1" applyFill="1" applyBorder="1" applyAlignment="1">
      <alignment horizontal="center"/>
    </xf>
    <xf numFmtId="0" fontId="14" fillId="12" borderId="12" xfId="0" applyFont="1" applyFill="1" applyBorder="1" applyAlignment="1">
      <alignment horizontal="center"/>
    </xf>
    <xf numFmtId="0" fontId="0" fillId="4" borderId="31" xfId="0" applyFill="1" applyBorder="1" applyAlignment="1"/>
    <xf numFmtId="0" fontId="0" fillId="4" borderId="32" xfId="0" applyFill="1" applyBorder="1" applyAlignment="1"/>
    <xf numFmtId="0" fontId="0" fillId="4" borderId="34" xfId="0" applyFill="1" applyBorder="1" applyAlignment="1"/>
    <xf numFmtId="0" fontId="0" fillId="4" borderId="0" xfId="0" applyFill="1" applyBorder="1" applyAlignment="1"/>
    <xf numFmtId="0" fontId="0" fillId="4" borderId="34" xfId="0" applyFill="1" applyBorder="1"/>
    <xf numFmtId="0" fontId="0" fillId="4" borderId="0" xfId="0" applyFill="1" applyBorder="1"/>
    <xf numFmtId="0" fontId="13" fillId="4" borderId="34" xfId="0" applyFont="1" applyFill="1" applyBorder="1" applyAlignment="1">
      <alignment horizontal="center"/>
    </xf>
    <xf numFmtId="0" fontId="13" fillId="4" borderId="0" xfId="0" applyFont="1" applyFill="1" applyBorder="1" applyAlignment="1">
      <alignment horizontal="center"/>
    </xf>
    <xf numFmtId="0" fontId="13" fillId="4" borderId="36" xfId="0" applyFont="1" applyFill="1" applyBorder="1" applyAlignment="1">
      <alignment horizontal="center"/>
    </xf>
    <xf numFmtId="0" fontId="13" fillId="4" borderId="37" xfId="0" applyFont="1" applyFill="1" applyBorder="1" applyAlignment="1">
      <alignment horizontal="center"/>
    </xf>
    <xf numFmtId="0" fontId="15" fillId="16" borderId="32" xfId="0" applyFont="1" applyFill="1" applyBorder="1" applyAlignment="1">
      <alignment horizontal="left" vertical="center" wrapText="1"/>
    </xf>
    <xf numFmtId="0" fontId="15" fillId="16" borderId="33" xfId="0" applyFont="1" applyFill="1" applyBorder="1" applyAlignment="1">
      <alignment horizontal="left" vertical="center" wrapText="1"/>
    </xf>
    <xf numFmtId="0" fontId="15" fillId="16" borderId="0" xfId="0" applyFont="1" applyFill="1" applyBorder="1" applyAlignment="1">
      <alignment horizontal="left" vertical="center" wrapText="1"/>
    </xf>
    <xf numFmtId="0" fontId="15" fillId="16" borderId="35" xfId="0" applyFont="1" applyFill="1" applyBorder="1" applyAlignment="1">
      <alignment horizontal="left" vertical="center" wrapText="1"/>
    </xf>
    <xf numFmtId="0" fontId="15" fillId="16" borderId="37" xfId="0" applyFont="1" applyFill="1" applyBorder="1" applyAlignment="1">
      <alignment horizontal="left" vertical="center" wrapText="1"/>
    </xf>
    <xf numFmtId="0" fontId="15" fillId="16" borderId="38" xfId="0" applyFont="1" applyFill="1" applyBorder="1" applyAlignment="1">
      <alignment horizontal="left" vertical="center" wrapText="1"/>
    </xf>
    <xf numFmtId="0" fontId="15" fillId="0" borderId="0" xfId="0" applyFont="1" applyFill="1" applyBorder="1" applyAlignment="1">
      <alignment horizontal="left" vertical="center" wrapText="1"/>
    </xf>
    <xf numFmtId="0" fontId="15" fillId="16" borderId="31" xfId="0" applyFont="1" applyFill="1" applyBorder="1" applyAlignment="1">
      <alignment horizontal="left" vertical="center" wrapText="1"/>
    </xf>
    <xf numFmtId="0" fontId="15" fillId="16" borderId="34" xfId="0" applyFont="1" applyFill="1" applyBorder="1" applyAlignment="1">
      <alignment horizontal="left" vertical="center" wrapText="1"/>
    </xf>
    <xf numFmtId="0" fontId="15" fillId="16" borderId="36" xfId="0" applyFont="1" applyFill="1" applyBorder="1" applyAlignment="1">
      <alignment horizontal="left" vertical="center" wrapText="1"/>
    </xf>
  </cellXfs>
  <cellStyles count="1">
    <cellStyle name="Normal" xfId="0" builtinId="0"/>
  </cellStyles>
  <dxfs count="26">
    <dxf>
      <font>
        <color theme="0"/>
      </font>
      <fill>
        <patternFill>
          <bgColor theme="4"/>
        </patternFill>
      </fill>
      <border>
        <left style="thin">
          <color auto="1"/>
        </left>
        <right style="thin">
          <color auto="1"/>
        </right>
        <top style="thin">
          <color auto="1"/>
        </top>
        <bottom style="thin">
          <color auto="1"/>
        </bottom>
      </border>
    </dxf>
    <dxf>
      <fill>
        <patternFill>
          <bgColor theme="0" tint="-4.9989318521683403E-2"/>
        </patternFill>
      </fill>
      <border>
        <left style="thin">
          <color auto="1"/>
        </left>
        <right style="thin">
          <color auto="1"/>
        </right>
        <top style="thin">
          <color auto="1"/>
        </top>
        <bottom style="thin">
          <color auto="1"/>
        </bottom>
      </border>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20" formatCode="d\-mmm\-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2" defaultTableStyle="TableStyleMedium2" defaultPivotStyle="PivotStyleLight16">
    <tableStyle name="Invisible" pivot="0" table="0" count="0" xr9:uid="{6EAD0CF0-4F2E-48BF-856C-BCBD0F5DCEB4}"/>
    <tableStyle name="Slicer Style 1" pivot="0" table="0" count="3" xr9:uid="{DFEFAABA-182D-4294-BE92-7E63D7CC83B1}">
      <tableStyleElement type="wholeTable" dxfId="1"/>
      <tableStyleElement type="headerRow" dxfId="0"/>
    </tableStyle>
  </tableStyles>
  <extLst>
    <ext xmlns:x14="http://schemas.microsoft.com/office/spreadsheetml/2009/9/main" uri="{46F421CA-312F-682f-3DD2-61675219B42D}">
      <x14:dxfs count="2">
        <dxf>
          <fill>
            <patternFill>
              <bgColor theme="4" tint="0.79998168889431442"/>
            </patternFill>
          </fill>
        </dxf>
        <dxf>
          <fill>
            <patternFill>
              <bgColor theme="4"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Project.xlsx]Pivots!PivotTable7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t>Risk</a:t>
            </a:r>
            <a:r>
              <a:rPr lang="en-IN" b="1" baseline="0"/>
              <a:t> Level</a:t>
            </a:r>
            <a:endParaRPr lang="en-IN"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Pivots!$E$11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Pivots!$D$12:$D$15</c:f>
              <c:strCache>
                <c:ptCount val="3"/>
                <c:pt idx="0">
                  <c:v>High Risk</c:v>
                </c:pt>
                <c:pt idx="1">
                  <c:v>Low Risk</c:v>
                </c:pt>
                <c:pt idx="2">
                  <c:v>Medium Risk</c:v>
                </c:pt>
              </c:strCache>
            </c:strRef>
          </c:cat>
          <c:val>
            <c:numRef>
              <c:f>Pivots!$E$12:$E$15</c:f>
              <c:numCache>
                <c:formatCode>General</c:formatCode>
                <c:ptCount val="3"/>
                <c:pt idx="0">
                  <c:v>1</c:v>
                </c:pt>
                <c:pt idx="1">
                  <c:v>1</c:v>
                </c:pt>
                <c:pt idx="2">
                  <c:v>2</c:v>
                </c:pt>
              </c:numCache>
            </c:numRef>
          </c:val>
          <c:extLst>
            <c:ext xmlns:c16="http://schemas.microsoft.com/office/drawing/2014/chart" uri="{C3380CC4-5D6E-409C-BE32-E72D297353CC}">
              <c16:uniqueId val="{00000000-0798-43BA-BDB1-4B211F7A68A4}"/>
            </c:ext>
          </c:extLst>
        </c:ser>
        <c:dLbls>
          <c:showLegendKey val="0"/>
          <c:showVal val="0"/>
          <c:showCatName val="0"/>
          <c:showSerName val="0"/>
          <c:showPercent val="0"/>
          <c:showBubbleSize val="0"/>
        </c:dLbls>
        <c:gapWidth val="150"/>
        <c:shape val="box"/>
        <c:axId val="119960608"/>
        <c:axId val="119965888"/>
        <c:axId val="0"/>
      </c:bar3DChart>
      <c:catAx>
        <c:axId val="119960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65888"/>
        <c:crosses val="autoZero"/>
        <c:auto val="1"/>
        <c:lblAlgn val="ctr"/>
        <c:lblOffset val="100"/>
        <c:noMultiLvlLbl val="0"/>
      </c:catAx>
      <c:valAx>
        <c:axId val="119965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9960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Project.xlsx]Pivots!PivotTable3</c:name>
    <c:fmtId val="19"/>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IN" b="1">
                <a:solidFill>
                  <a:schemeClr val="bg1"/>
                </a:solidFill>
              </a:rPr>
              <a:t>Attrition by Department</a:t>
            </a:r>
          </a:p>
        </c:rich>
      </c:tx>
      <c:layout>
        <c:manualLayout>
          <c:xMode val="edge"/>
          <c:yMode val="edge"/>
          <c:x val="0.20820516374185169"/>
          <c:y val="5.3301000982030567E-3"/>
        </c:manualLayout>
      </c:layout>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92749857989629"/>
          <c:y val="0.34098803904002206"/>
          <c:w val="0.87792448385945243"/>
          <c:h val="0.34608124580052718"/>
        </c:manualLayout>
      </c:layout>
      <c:bar3DChart>
        <c:barDir val="col"/>
        <c:grouping val="clustered"/>
        <c:varyColors val="0"/>
        <c:ser>
          <c:idx val="0"/>
          <c:order val="0"/>
          <c:tx>
            <c:strRef>
              <c:f>Pivots!$E$2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Pivots!$D$3:$D$7</c:f>
              <c:strCache>
                <c:ptCount val="4"/>
                <c:pt idx="0">
                  <c:v>Finance</c:v>
                </c:pt>
                <c:pt idx="1">
                  <c:v>HR</c:v>
                </c:pt>
                <c:pt idx="2">
                  <c:v>IT</c:v>
                </c:pt>
                <c:pt idx="3">
                  <c:v>Sales</c:v>
                </c:pt>
              </c:strCache>
            </c:strRef>
          </c:cat>
          <c:val>
            <c:numRef>
              <c:f>Pivots!$E$3:$E$7</c:f>
              <c:numCache>
                <c:formatCode>General</c:formatCode>
                <c:ptCount val="4"/>
                <c:pt idx="0">
                  <c:v>1</c:v>
                </c:pt>
                <c:pt idx="1">
                  <c:v>1</c:v>
                </c:pt>
                <c:pt idx="2">
                  <c:v>0</c:v>
                </c:pt>
                <c:pt idx="3">
                  <c:v>0</c:v>
                </c:pt>
              </c:numCache>
            </c:numRef>
          </c:val>
          <c:extLst>
            <c:ext xmlns:c16="http://schemas.microsoft.com/office/drawing/2014/chart" uri="{C3380CC4-5D6E-409C-BE32-E72D297353CC}">
              <c16:uniqueId val="{00000000-E22B-4C28-8FBD-2A99722D3EE6}"/>
            </c:ext>
          </c:extLst>
        </c:ser>
        <c:dLbls>
          <c:showLegendKey val="0"/>
          <c:showVal val="1"/>
          <c:showCatName val="0"/>
          <c:showSerName val="0"/>
          <c:showPercent val="0"/>
          <c:showBubbleSize val="0"/>
        </c:dLbls>
        <c:gapWidth val="150"/>
        <c:shape val="box"/>
        <c:axId val="2112178576"/>
        <c:axId val="2112179056"/>
        <c:axId val="0"/>
      </c:bar3DChart>
      <c:catAx>
        <c:axId val="2112178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112179056"/>
        <c:crosses val="autoZero"/>
        <c:auto val="1"/>
        <c:lblAlgn val="ctr"/>
        <c:lblOffset val="100"/>
        <c:noMultiLvlLbl val="0"/>
      </c:catAx>
      <c:valAx>
        <c:axId val="2112179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1785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Project.xlsx]Pivots!PivotTable5</c:name>
    <c:fmtId val="1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Gender</a:t>
            </a:r>
            <a:r>
              <a:rPr lang="en-US" b="1" baseline="0">
                <a:solidFill>
                  <a:schemeClr val="bg1"/>
                </a:solidFill>
              </a:rPr>
              <a:t> Distribution</a:t>
            </a:r>
            <a:endParaRPr lang="en-US" b="1">
              <a:solidFill>
                <a:schemeClr val="bg1"/>
              </a:solidFill>
            </a:endParaRPr>
          </a:p>
        </c:rich>
      </c:tx>
      <c:layout>
        <c:manualLayout>
          <c:xMode val="edge"/>
          <c:yMode val="edge"/>
          <c:x val="0.22014168223444916"/>
          <c:y val="5.3029085650008034E-3"/>
        </c:manualLayout>
      </c:layout>
      <c:overlay val="0"/>
      <c:spPr>
        <a:solidFill>
          <a:schemeClr val="accent1"/>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s>
    <c:plotArea>
      <c:layout>
        <c:manualLayout>
          <c:layoutTarget val="inner"/>
          <c:xMode val="edge"/>
          <c:yMode val="edge"/>
          <c:x val="0.28124173783237716"/>
          <c:y val="0.20537522095452354"/>
          <c:w val="0.41218374371712585"/>
          <c:h val="0.60877015373078369"/>
        </c:manualLayout>
      </c:layout>
      <c:doughnutChart>
        <c:varyColors val="1"/>
        <c:ser>
          <c:idx val="0"/>
          <c:order val="0"/>
          <c:tx>
            <c:strRef>
              <c:f>Pivots!$K$2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5A-44EC-B10C-1628A23533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5A-44EC-B10C-1628A23533D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Pivots!$J$3:$J$5</c:f>
              <c:strCache>
                <c:ptCount val="2"/>
                <c:pt idx="0">
                  <c:v>Female</c:v>
                </c:pt>
                <c:pt idx="1">
                  <c:v>Male</c:v>
                </c:pt>
              </c:strCache>
            </c:strRef>
          </c:cat>
          <c:val>
            <c:numRef>
              <c:f>Pivots!$K$3:$K$5</c:f>
              <c:numCache>
                <c:formatCode>General</c:formatCode>
                <c:ptCount val="2"/>
                <c:pt idx="0">
                  <c:v>2</c:v>
                </c:pt>
                <c:pt idx="1">
                  <c:v>2</c:v>
                </c:pt>
              </c:numCache>
            </c:numRef>
          </c:val>
          <c:extLst>
            <c:ext xmlns:c16="http://schemas.microsoft.com/office/drawing/2014/chart" uri="{C3380CC4-5D6E-409C-BE32-E72D297353CC}">
              <c16:uniqueId val="{00000004-775A-44EC-B10C-1628A23533D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1603186018771281"/>
          <c:y val="0.83728587497991325"/>
          <c:w val="0.56633235989553921"/>
          <c:h val="0.1559114039316514"/>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 Project.xlsx]Pivots!PivotTable6</c:name>
    <c:fmtId val="25"/>
  </c:pivotSource>
  <c:chart>
    <c:title>
      <c:tx>
        <c:rich>
          <a:bodyPr rot="0" spcFirstLastPara="1" vertOverflow="ellipsis" vert="horz" wrap="square" anchor="ctr" anchorCtr="1"/>
          <a:lstStyle/>
          <a:p>
            <a:pPr>
              <a:defRPr sz="2000" b="1" i="0" u="none" strike="noStrike" kern="1200" cap="none" spc="0" normalizeH="0" baseline="0">
                <a:solidFill>
                  <a:schemeClr val="bg1"/>
                </a:solidFill>
                <a:latin typeface="+mj-lt"/>
                <a:ea typeface="+mj-ea"/>
                <a:cs typeface="+mj-cs"/>
              </a:defRPr>
            </a:pPr>
            <a:r>
              <a:rPr lang="en-IN" sz="1400" b="1">
                <a:solidFill>
                  <a:schemeClr val="bg1"/>
                </a:solidFill>
              </a:rPr>
              <a:t>Job Role Attrition</a:t>
            </a:r>
            <a:endParaRPr lang="en-US" sz="1400" b="1">
              <a:solidFill>
                <a:schemeClr val="bg1"/>
              </a:solidFill>
            </a:endParaRPr>
          </a:p>
        </c:rich>
      </c:tx>
      <c:layout>
        <c:manualLayout>
          <c:xMode val="edge"/>
          <c:yMode val="edge"/>
          <c:x val="0.31149332878373226"/>
          <c:y val="6.0055792803775376E-3"/>
        </c:manualLayout>
      </c:layout>
      <c:overlay val="0"/>
      <c:spPr>
        <a:solidFill>
          <a:schemeClr val="accent1"/>
        </a:solidFill>
        <a:ln>
          <a:noFill/>
        </a:ln>
        <a:effectLst/>
      </c:spPr>
      <c:txPr>
        <a:bodyPr rot="0" spcFirstLastPara="1" vertOverflow="ellipsis" vert="horz" wrap="square" anchor="ctr" anchorCtr="1"/>
        <a:lstStyle/>
        <a:p>
          <a:pPr>
            <a:defRPr sz="2000" b="1" i="0" u="none" strike="noStrike" kern="1200" cap="none" spc="0" normalizeH="0" baseline="0">
              <a:solidFill>
                <a:schemeClr val="bg1"/>
              </a:solidFill>
              <a:latin typeface="+mj-lt"/>
              <a:ea typeface="+mj-ea"/>
              <a:cs typeface="+mj-cs"/>
            </a:defRPr>
          </a:pPr>
          <a:endParaRPr lang="en-US"/>
        </a:p>
      </c:txPr>
    </c:title>
    <c:autoTitleDeleted val="0"/>
    <c:pivotFmts>
      <c:pivotFmt>
        <c:idx val="0"/>
      </c:pivotFmt>
      <c:pivotFmt>
        <c:idx val="1"/>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6175270675560773E-2"/>
          <c:y val="0.25471190062252352"/>
          <c:w val="0.94382472932443928"/>
          <c:h val="0.40001816872325008"/>
        </c:manualLayout>
      </c:layout>
      <c:bar3DChart>
        <c:barDir val="col"/>
        <c:grouping val="clustered"/>
        <c:varyColors val="0"/>
        <c:ser>
          <c:idx val="0"/>
          <c:order val="0"/>
          <c:tx>
            <c:strRef>
              <c:f>Pivots!$B$11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Pivots!$A$12:$A$16</c:f>
              <c:strCache>
                <c:ptCount val="4"/>
                <c:pt idx="0">
                  <c:v>Analyst</c:v>
                </c:pt>
                <c:pt idx="1">
                  <c:v>Associate</c:v>
                </c:pt>
                <c:pt idx="2">
                  <c:v>Executive</c:v>
                </c:pt>
                <c:pt idx="3">
                  <c:v>Manager</c:v>
                </c:pt>
              </c:strCache>
            </c:strRef>
          </c:cat>
          <c:val>
            <c:numRef>
              <c:f>Pivots!$B$12:$B$16</c:f>
              <c:numCache>
                <c:formatCode>General</c:formatCode>
                <c:ptCount val="4"/>
                <c:pt idx="0">
                  <c:v>0</c:v>
                </c:pt>
                <c:pt idx="1">
                  <c:v>1</c:v>
                </c:pt>
                <c:pt idx="2">
                  <c:v>0</c:v>
                </c:pt>
                <c:pt idx="3">
                  <c:v>1</c:v>
                </c:pt>
              </c:numCache>
            </c:numRef>
          </c:val>
          <c:extLst>
            <c:ext xmlns:c16="http://schemas.microsoft.com/office/drawing/2014/chart" uri="{C3380CC4-5D6E-409C-BE32-E72D297353CC}">
              <c16:uniqueId val="{00000000-FB20-47A5-A0F8-0954C9B69C4D}"/>
            </c:ext>
          </c:extLst>
        </c:ser>
        <c:dLbls>
          <c:showLegendKey val="0"/>
          <c:showVal val="1"/>
          <c:showCatName val="0"/>
          <c:showSerName val="0"/>
          <c:showPercent val="0"/>
          <c:showBubbleSize val="0"/>
        </c:dLbls>
        <c:gapWidth val="150"/>
        <c:shape val="box"/>
        <c:axId val="85004128"/>
        <c:axId val="85004608"/>
        <c:axId val="0"/>
      </c:bar3DChart>
      <c:catAx>
        <c:axId val="8500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cap="none" spc="0" normalizeH="0" baseline="0">
                <a:solidFill>
                  <a:schemeClr val="tx1">
                    <a:lumMod val="65000"/>
                    <a:lumOff val="35000"/>
                  </a:schemeClr>
                </a:solidFill>
                <a:latin typeface="+mn-lt"/>
                <a:ea typeface="+mn-ea"/>
                <a:cs typeface="+mn-cs"/>
              </a:defRPr>
            </a:pPr>
            <a:endParaRPr lang="en-US"/>
          </a:p>
        </c:txPr>
        <c:crossAx val="85004608"/>
        <c:crosses val="autoZero"/>
        <c:auto val="1"/>
        <c:lblAlgn val="ctr"/>
        <c:lblOffset val="100"/>
        <c:noMultiLvlLbl val="0"/>
      </c:catAx>
      <c:valAx>
        <c:axId val="8500460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4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2.xml"/><Relationship Id="rId5" Type="http://schemas.openxmlformats.org/officeDocument/2006/relationships/image" Target="../media/image5.png"/><Relationship Id="rId15" Type="http://schemas.openxmlformats.org/officeDocument/2006/relationships/image" Target="../media/image16.sv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svg"/><Relationship Id="rId1" Type="http://schemas.openxmlformats.org/officeDocument/2006/relationships/image" Target="../media/image11.png"/><Relationship Id="rId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190500</xdr:colOff>
      <xdr:row>11</xdr:row>
      <xdr:rowOff>171450</xdr:rowOff>
    </xdr:from>
    <xdr:to>
      <xdr:col>6</xdr:col>
      <xdr:colOff>371475</xdr:colOff>
      <xdr:row>21</xdr:row>
      <xdr:rowOff>104775</xdr:rowOff>
    </xdr:to>
    <xdr:graphicFrame macro="">
      <xdr:nvGraphicFramePr>
        <xdr:cNvPr id="5" name="Chart 4">
          <a:extLst>
            <a:ext uri="{FF2B5EF4-FFF2-40B4-BE49-F238E27FC236}">
              <a16:creationId xmlns:a16="http://schemas.microsoft.com/office/drawing/2014/main" id="{7F6C5570-1D72-49AB-BF3C-A33EB1077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311150</xdr:colOff>
      <xdr:row>4</xdr:row>
      <xdr:rowOff>42333</xdr:rowOff>
    </xdr:from>
    <xdr:to>
      <xdr:col>3</xdr:col>
      <xdr:colOff>387349</xdr:colOff>
      <xdr:row>7</xdr:row>
      <xdr:rowOff>23283</xdr:rowOff>
    </xdr:to>
    <xdr:pic>
      <xdr:nvPicPr>
        <xdr:cNvPr id="3" name="Graphic 2" descr="Users with solid fill">
          <a:extLst>
            <a:ext uri="{FF2B5EF4-FFF2-40B4-BE49-F238E27FC236}">
              <a16:creationId xmlns:a16="http://schemas.microsoft.com/office/drawing/2014/main" id="{800C9A7F-E199-36FB-A29B-6E5163FF1E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8733" y="857250"/>
          <a:ext cx="690033" cy="690033"/>
        </a:xfrm>
        <a:prstGeom prst="rect">
          <a:avLst/>
        </a:prstGeom>
      </xdr:spPr>
    </xdr:pic>
    <xdr:clientData/>
  </xdr:twoCellAnchor>
  <xdr:twoCellAnchor editAs="oneCell">
    <xdr:from>
      <xdr:col>5</xdr:col>
      <xdr:colOff>370417</xdr:colOff>
      <xdr:row>4</xdr:row>
      <xdr:rowOff>76200</xdr:rowOff>
    </xdr:from>
    <xdr:to>
      <xdr:col>6</xdr:col>
      <xdr:colOff>294216</xdr:colOff>
      <xdr:row>6</xdr:row>
      <xdr:rowOff>92075</xdr:rowOff>
    </xdr:to>
    <xdr:pic>
      <xdr:nvPicPr>
        <xdr:cNvPr id="5" name="Graphic 4" descr="Child with balloon with solid fill">
          <a:extLst>
            <a:ext uri="{FF2B5EF4-FFF2-40B4-BE49-F238E27FC236}">
              <a16:creationId xmlns:a16="http://schemas.microsoft.com/office/drawing/2014/main" id="{94ED77B2-3879-363D-D1C5-813871B6B5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38500" y="891117"/>
          <a:ext cx="537633" cy="534458"/>
        </a:xfrm>
        <a:prstGeom prst="rect">
          <a:avLst/>
        </a:prstGeom>
      </xdr:spPr>
    </xdr:pic>
    <xdr:clientData/>
  </xdr:twoCellAnchor>
  <xdr:twoCellAnchor editAs="oneCell">
    <xdr:from>
      <xdr:col>8</xdr:col>
      <xdr:colOff>357716</xdr:colOff>
      <xdr:row>4</xdr:row>
      <xdr:rowOff>110067</xdr:rowOff>
    </xdr:from>
    <xdr:to>
      <xdr:col>9</xdr:col>
      <xdr:colOff>281516</xdr:colOff>
      <xdr:row>6</xdr:row>
      <xdr:rowOff>125942</xdr:rowOff>
    </xdr:to>
    <xdr:pic>
      <xdr:nvPicPr>
        <xdr:cNvPr id="7" name="Graphic 6" descr="Walk with solid fill">
          <a:extLst>
            <a:ext uri="{FF2B5EF4-FFF2-40B4-BE49-F238E27FC236}">
              <a16:creationId xmlns:a16="http://schemas.microsoft.com/office/drawing/2014/main" id="{35D02D22-BF61-AFF1-4CE0-D7E94CE502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96883" y="924984"/>
          <a:ext cx="537633" cy="534458"/>
        </a:xfrm>
        <a:prstGeom prst="rect">
          <a:avLst/>
        </a:prstGeom>
      </xdr:spPr>
    </xdr:pic>
    <xdr:clientData/>
  </xdr:twoCellAnchor>
  <xdr:twoCellAnchor editAs="oneCell">
    <xdr:from>
      <xdr:col>11</xdr:col>
      <xdr:colOff>358776</xdr:colOff>
      <xdr:row>4</xdr:row>
      <xdr:rowOff>133351</xdr:rowOff>
    </xdr:from>
    <xdr:to>
      <xdr:col>12</xdr:col>
      <xdr:colOff>342900</xdr:colOff>
      <xdr:row>7</xdr:row>
      <xdr:rowOff>25400</xdr:rowOff>
    </xdr:to>
    <xdr:pic>
      <xdr:nvPicPr>
        <xdr:cNvPr id="9" name="Graphic 8" descr="Bar chart with solid fill">
          <a:extLst>
            <a:ext uri="{FF2B5EF4-FFF2-40B4-BE49-F238E27FC236}">
              <a16:creationId xmlns:a16="http://schemas.microsoft.com/office/drawing/2014/main" id="{B952E0DB-3215-0FEB-5190-B097238504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90859" y="948268"/>
          <a:ext cx="597957" cy="601132"/>
        </a:xfrm>
        <a:prstGeom prst="rect">
          <a:avLst/>
        </a:prstGeom>
      </xdr:spPr>
    </xdr:pic>
    <xdr:clientData/>
  </xdr:twoCellAnchor>
  <xdr:twoCellAnchor editAs="oneCell">
    <xdr:from>
      <xdr:col>14</xdr:col>
      <xdr:colOff>418042</xdr:colOff>
      <xdr:row>4</xdr:row>
      <xdr:rowOff>152400</xdr:rowOff>
    </xdr:from>
    <xdr:to>
      <xdr:col>15</xdr:col>
      <xdr:colOff>361950</xdr:colOff>
      <xdr:row>6</xdr:row>
      <xdr:rowOff>187325</xdr:rowOff>
    </xdr:to>
    <xdr:pic>
      <xdr:nvPicPr>
        <xdr:cNvPr id="11" name="Graphic 10" descr="Money with solid fill">
          <a:extLst>
            <a:ext uri="{FF2B5EF4-FFF2-40B4-BE49-F238E27FC236}">
              <a16:creationId xmlns:a16="http://schemas.microsoft.com/office/drawing/2014/main" id="{F5C0310A-3D42-B461-12F0-A098AF04287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202209" y="967317"/>
          <a:ext cx="557742" cy="553508"/>
        </a:xfrm>
        <a:prstGeom prst="rect">
          <a:avLst/>
        </a:prstGeom>
      </xdr:spPr>
    </xdr:pic>
    <xdr:clientData/>
  </xdr:twoCellAnchor>
  <xdr:twoCellAnchor editAs="oneCell">
    <xdr:from>
      <xdr:col>0</xdr:col>
      <xdr:colOff>0</xdr:colOff>
      <xdr:row>1</xdr:row>
      <xdr:rowOff>19050</xdr:rowOff>
    </xdr:from>
    <xdr:to>
      <xdr:col>1</xdr:col>
      <xdr:colOff>535781</xdr:colOff>
      <xdr:row>9</xdr:row>
      <xdr:rowOff>42333</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8FE082C0-3103-42E4-9661-938430A3150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269081"/>
              <a:ext cx="1238250" cy="16782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74082</xdr:rowOff>
    </xdr:from>
    <xdr:to>
      <xdr:col>1</xdr:col>
      <xdr:colOff>559593</xdr:colOff>
      <xdr:row>26</xdr:row>
      <xdr:rowOff>121707</xdr:rowOff>
    </xdr:to>
    <mc:AlternateContent xmlns:mc="http://schemas.openxmlformats.org/markup-compatibility/2006">
      <mc:Choice xmlns:a14="http://schemas.microsoft.com/office/drawing/2010/main" Requires="a14">
        <xdr:graphicFrame macro="">
          <xdr:nvGraphicFramePr>
            <xdr:cNvPr id="13" name="Risk Level">
              <a:extLst>
                <a:ext uri="{FF2B5EF4-FFF2-40B4-BE49-F238E27FC236}">
                  <a16:creationId xmlns:a16="http://schemas.microsoft.com/office/drawing/2014/main" id="{0607FA9E-BED3-406B-BF99-ED6577BC3AA1}"/>
                </a:ext>
              </a:extLst>
            </xdr:cNvPr>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dr:sp macro="" textlink="">
          <xdr:nvSpPr>
            <xdr:cNvPr id="0" name=""/>
            <xdr:cNvSpPr>
              <a:spLocks noTextEdit="1"/>
            </xdr:cNvSpPr>
          </xdr:nvSpPr>
          <xdr:spPr>
            <a:xfrm>
              <a:off x="0" y="4074582"/>
              <a:ext cx="1262062"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188383</xdr:rowOff>
    </xdr:from>
    <xdr:to>
      <xdr:col>1</xdr:col>
      <xdr:colOff>535781</xdr:colOff>
      <xdr:row>13</xdr:row>
      <xdr:rowOff>105832</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6B33856A-85CF-4299-A1C8-3DE56B13753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712383"/>
              <a:ext cx="1238250" cy="1060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1512</xdr:colOff>
      <xdr:row>10</xdr:row>
      <xdr:rowOff>1512</xdr:rowOff>
    </xdr:from>
    <xdr:to>
      <xdr:col>8</xdr:col>
      <xdr:colOff>215825</xdr:colOff>
      <xdr:row>19</xdr:row>
      <xdr:rowOff>144388</xdr:rowOff>
    </xdr:to>
    <xdr:graphicFrame macro="">
      <xdr:nvGraphicFramePr>
        <xdr:cNvPr id="18" name="Chart 17">
          <a:extLst>
            <a:ext uri="{FF2B5EF4-FFF2-40B4-BE49-F238E27FC236}">
              <a16:creationId xmlns:a16="http://schemas.microsoft.com/office/drawing/2014/main" id="{EF2BF642-B7B8-4374-BAE7-517722341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404247</xdr:colOff>
      <xdr:row>10</xdr:row>
      <xdr:rowOff>7558</xdr:rowOff>
    </xdr:from>
    <xdr:to>
      <xdr:col>14</xdr:col>
      <xdr:colOff>219378</xdr:colOff>
      <xdr:row>19</xdr:row>
      <xdr:rowOff>159958</xdr:rowOff>
    </xdr:to>
    <xdr:graphicFrame macro="">
      <xdr:nvGraphicFramePr>
        <xdr:cNvPr id="19" name="Chart 18">
          <a:extLst>
            <a:ext uri="{FF2B5EF4-FFF2-40B4-BE49-F238E27FC236}">
              <a16:creationId xmlns:a16="http://schemas.microsoft.com/office/drawing/2014/main" id="{63F29EB2-8DDE-4A55-86FF-81296C068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404243</xdr:colOff>
      <xdr:row>10</xdr:row>
      <xdr:rowOff>1324</xdr:rowOff>
    </xdr:from>
    <xdr:to>
      <xdr:col>19</xdr:col>
      <xdr:colOff>317499</xdr:colOff>
      <xdr:row>19</xdr:row>
      <xdr:rowOff>158750</xdr:rowOff>
    </xdr:to>
    <xdr:graphicFrame macro="">
      <xdr:nvGraphicFramePr>
        <xdr:cNvPr id="20" name="Chart 19">
          <a:extLst>
            <a:ext uri="{FF2B5EF4-FFF2-40B4-BE49-F238E27FC236}">
              <a16:creationId xmlns:a16="http://schemas.microsoft.com/office/drawing/2014/main" id="{D8B4BDF8-2EBE-4BEA-AA24-4C61B0459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0</xdr:colOff>
      <xdr:row>12</xdr:row>
      <xdr:rowOff>117476</xdr:rowOff>
    </xdr:from>
    <xdr:to>
      <xdr:col>1</xdr:col>
      <xdr:colOff>535781</xdr:colOff>
      <xdr:row>20</xdr:row>
      <xdr:rowOff>79376</xdr:rowOff>
    </xdr:to>
    <mc:AlternateContent xmlns:mc="http://schemas.openxmlformats.org/markup-compatibility/2006">
      <mc:Choice xmlns:a14="http://schemas.microsoft.com/office/drawing/2010/main" Requires="a14">
        <xdr:graphicFrame macro="">
          <xdr:nvGraphicFramePr>
            <xdr:cNvPr id="14" name="Location">
              <a:extLst>
                <a:ext uri="{FF2B5EF4-FFF2-40B4-BE49-F238E27FC236}">
                  <a16:creationId xmlns:a16="http://schemas.microsoft.com/office/drawing/2014/main" id="{9D9BE218-94C7-42EF-A1B3-E3CB4643D493}"/>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0" y="2593976"/>
              <a:ext cx="1238250" cy="1485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285750</xdr:colOff>
      <xdr:row>21</xdr:row>
      <xdr:rowOff>116416</xdr:rowOff>
    </xdr:from>
    <xdr:to>
      <xdr:col>3</xdr:col>
      <xdr:colOff>211666</xdr:colOff>
      <xdr:row>24</xdr:row>
      <xdr:rowOff>84666</xdr:rowOff>
    </xdr:to>
    <xdr:pic>
      <xdr:nvPicPr>
        <xdr:cNvPr id="22" name="Graphic 21" descr="Lightbulb with solid fill">
          <a:extLst>
            <a:ext uri="{FF2B5EF4-FFF2-40B4-BE49-F238E27FC236}">
              <a16:creationId xmlns:a16="http://schemas.microsoft.com/office/drawing/2014/main" id="{31E78981-BE61-D9D5-7D75-98AC14E20756}"/>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693333" y="4307416"/>
          <a:ext cx="539750" cy="539750"/>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0.34545</cdr:x>
      <cdr:y>0.35147</cdr:y>
    </cdr:from>
    <cdr:to>
      <cdr:x>0.51358</cdr:x>
      <cdr:y>0.59979</cdr:y>
    </cdr:to>
    <cdr:pic>
      <cdr:nvPicPr>
        <cdr:cNvPr id="5" name="Graphic 4" descr="Man with solid fill">
          <a:extLst xmlns:a="http://schemas.openxmlformats.org/drawingml/2006/main">
            <a:ext uri="{FF2B5EF4-FFF2-40B4-BE49-F238E27FC236}">
              <a16:creationId xmlns:a16="http://schemas.microsoft.com/office/drawing/2014/main" id="{2144BF3B-EAEE-D911-F505-F96284FC809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52502" y="656168"/>
          <a:ext cx="463586" cy="463586"/>
        </a:xfrm>
        <a:prstGeom xmlns:a="http://schemas.openxmlformats.org/drawingml/2006/main" prst="rect">
          <a:avLst/>
        </a:prstGeom>
      </cdr:spPr>
    </cdr:pic>
  </cdr:relSizeAnchor>
  <cdr:relSizeAnchor xmlns:cdr="http://schemas.openxmlformats.org/drawingml/2006/chartDrawing">
    <cdr:from>
      <cdr:x>0.46827</cdr:x>
      <cdr:y>0.34581</cdr:y>
    </cdr:from>
    <cdr:to>
      <cdr:x>0.64209</cdr:x>
      <cdr:y>0.60253</cdr:y>
    </cdr:to>
    <cdr:pic>
      <cdr:nvPicPr>
        <cdr:cNvPr id="7" name="Graphic 6" descr="Woman with solid fill">
          <a:extLst xmlns:a="http://schemas.openxmlformats.org/drawingml/2006/main">
            <a:ext uri="{FF2B5EF4-FFF2-40B4-BE49-F238E27FC236}">
              <a16:creationId xmlns:a16="http://schemas.microsoft.com/office/drawing/2014/main" id="{B370A493-188E-4A1D-4FF7-89904CC726B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3">
          <a:extLst>
            <a:ext uri="{96DAC541-7B7A-43D3-8B79-37D633B846F1}">
              <asvg:svgBlip xmlns:asvg="http://schemas.microsoft.com/office/drawing/2016/SVG/main" r:embed="rId4"/>
            </a:ext>
          </a:extLst>
        </a:blip>
        <a:stretch xmlns:a="http://schemas.openxmlformats.org/drawingml/2006/main">
          <a:fillRect/>
        </a:stretch>
      </cdr:blipFill>
      <cdr:spPr>
        <a:xfrm xmlns:a="http://schemas.openxmlformats.org/drawingml/2006/main">
          <a:off x="1291166" y="645584"/>
          <a:ext cx="479275" cy="479275"/>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sharma" refreshedDate="46157.560823842592" createdVersion="8" refreshedVersion="8" minRefreshableVersion="3" recordCount="4" xr:uid="{F3D578E7-FB81-4964-8DEC-EBB33B292D2D}">
  <cacheSource type="worksheet">
    <worksheetSource name="tbl_hr"/>
  </cacheSource>
  <cacheFields count="26">
    <cacheField name="Employee_ID" numFmtId="0">
      <sharedItems count="4">
        <s v="EMP001"/>
        <s v="EMP002"/>
        <s v="EMP003"/>
        <s v="EMP004"/>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6" maxValue="35"/>
    </cacheField>
    <cacheField name="Age Group" numFmtId="0">
      <sharedItems/>
    </cacheField>
    <cacheField name="Department" numFmtId="0">
      <sharedItems count="4">
        <s v="Sales"/>
        <s v="HR"/>
        <s v="IT"/>
        <s v="Finance"/>
      </sharedItems>
    </cacheField>
    <cacheField name="Job Role" numFmtId="0">
      <sharedItems count="4">
        <s v="Executive"/>
        <s v="Manager"/>
        <s v="Analyst"/>
        <s v="Associate"/>
      </sharedItems>
    </cacheField>
    <cacheField name="Hire Date" numFmtId="15">
      <sharedItems containsSemiMixedTypes="0" containsNonDate="0" containsDate="1" containsString="0" minDate="2019-02-15T00:00:00" maxDate="2022-08-21T00:00:00" count="4">
        <d v="2021-01-12T00:00:00"/>
        <d v="2019-02-15T00:00:00"/>
        <d v="2020-06-01T00:00:00"/>
        <d v="2022-08-20T00:00:00"/>
      </sharedItems>
      <fieldGroup par="25"/>
    </cacheField>
    <cacheField name="Tenure" numFmtId="0">
      <sharedItems/>
    </cacheField>
    <cacheField name="Exit Date" numFmtId="0">
      <sharedItems containsNonDate="0" containsDate="1" containsString="0" containsBlank="1" minDate="2024-03-10T00:00:00" maxDate="2025-01-06T00:00:00"/>
    </cacheField>
    <cacheField name="Attrition" numFmtId="0">
      <sharedItems count="2">
        <s v="No"/>
        <s v="Yes"/>
      </sharedItems>
    </cacheField>
    <cacheField name="Attrition Reason" numFmtId="0">
      <sharedItems containsBlank="1"/>
    </cacheField>
    <cacheField name="Attrition Flag" numFmtId="0">
      <sharedItems containsSemiMixedTypes="0" containsString="0" containsNumber="1" containsInteger="1" minValue="0" maxValue="1"/>
    </cacheField>
    <cacheField name="Salary" numFmtId="0">
      <sharedItems containsSemiMixedTypes="0" containsString="0" containsNumber="1" containsInteger="1" minValue="45000" maxValue="78000"/>
    </cacheField>
    <cacheField name="Performance Rating" numFmtId="0">
      <sharedItems containsSemiMixedTypes="0" containsString="0" containsNumber="1" containsInteger="1" minValue="2" maxValue="5"/>
    </cacheField>
    <cacheField name="Overtime" numFmtId="0">
      <sharedItems/>
    </cacheField>
    <cacheField name="Work Life Balance" numFmtId="0">
      <sharedItems/>
    </cacheField>
    <cacheField name="Job Satisfaction" numFmtId="0">
      <sharedItems/>
    </cacheField>
    <cacheField name="Training Hours" numFmtId="0">
      <sharedItems containsSemiMixedTypes="0" containsString="0" containsNumber="1" containsInteger="1" minValue="8" maxValue="24"/>
    </cacheField>
    <cacheField name="Promotion Last 5Yrs" numFmtId="0">
      <sharedItems/>
    </cacheField>
    <cacheField name="Manager" numFmtId="0">
      <sharedItems/>
    </cacheField>
    <cacheField name="Location" numFmtId="0">
      <sharedItems count="4">
        <s v="Delhi"/>
        <s v="Mumbai"/>
        <s v="Bangalore"/>
        <s v="Pune"/>
      </sharedItems>
    </cacheField>
    <cacheField name="Risk Level" numFmtId="0">
      <sharedItems count="3">
        <s v="Medium Risk"/>
        <s v="Low Risk"/>
        <s v="High Risk"/>
      </sharedItems>
    </cacheField>
    <cacheField name="Months (Hire Date)" numFmtId="0" databaseField="0">
      <fieldGroup base="7">
        <rangePr groupBy="months" startDate="2019-02-15T00:00:00" endDate="2022-08-21T00:00:00"/>
        <groupItems count="14">
          <s v="&lt;15-02-2019"/>
          <s v="Jan"/>
          <s v="Feb"/>
          <s v="Mar"/>
          <s v="Apr"/>
          <s v="May"/>
          <s v="Jun"/>
          <s v="Jul"/>
          <s v="Aug"/>
          <s v="Sep"/>
          <s v="Oct"/>
          <s v="Nov"/>
          <s v="Dec"/>
          <s v="&gt;21-08-2022"/>
        </groupItems>
      </fieldGroup>
    </cacheField>
    <cacheField name="Quarters (Hire Date)" numFmtId="0" databaseField="0">
      <fieldGroup base="7">
        <rangePr groupBy="quarters" startDate="2019-02-15T00:00:00" endDate="2022-08-21T00:00:00"/>
        <groupItems count="6">
          <s v="&lt;15-02-2019"/>
          <s v="Qtr1"/>
          <s v="Qtr2"/>
          <s v="Qtr3"/>
          <s v="Qtr4"/>
          <s v="&gt;21-08-2022"/>
        </groupItems>
      </fieldGroup>
    </cacheField>
    <cacheField name="Years (Hire Date)" numFmtId="0" databaseField="0">
      <fieldGroup base="7">
        <rangePr groupBy="years" startDate="2019-02-15T00:00:00" endDate="2022-08-21T00:00:00"/>
        <groupItems count="6">
          <s v="&lt;15-02-2019"/>
          <s v="2019"/>
          <s v="2020"/>
          <s v="2021"/>
          <s v="2022"/>
          <s v="&gt;21-08-2022"/>
        </groupItems>
      </fieldGroup>
    </cacheField>
  </cacheFields>
  <extLst>
    <ext xmlns:x14="http://schemas.microsoft.com/office/spreadsheetml/2009/9/main" uri="{725AE2AE-9491-48be-B2B4-4EB974FC3084}">
      <x14:pivotCacheDefinition pivotCacheId="490100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s v="Rahul Sharma"/>
    <x v="0"/>
    <n v="29"/>
    <s v="25-35"/>
    <x v="0"/>
    <x v="0"/>
    <x v="0"/>
    <s v="5 Years 4 Months"/>
    <m/>
    <x v="0"/>
    <m/>
    <n v="0"/>
    <n v="45000"/>
    <n v="4"/>
    <s v="Yes"/>
    <s v="Poor"/>
    <s v="Medium"/>
    <n v="12"/>
    <s v="No"/>
    <s v="Amit Verma"/>
    <x v="0"/>
    <x v="0"/>
  </r>
  <r>
    <x v="1"/>
    <s v="Priya Singh"/>
    <x v="1"/>
    <n v="35"/>
    <s v="25-35"/>
    <x v="1"/>
    <x v="1"/>
    <x v="1"/>
    <s v="5 Years 0 Months"/>
    <d v="2024-03-10T00:00:00"/>
    <x v="1"/>
    <s v="Better Offer"/>
    <n v="1"/>
    <n v="78000"/>
    <n v="5"/>
    <s v="No"/>
    <s v="Good"/>
    <s v="High"/>
    <n v="24"/>
    <s v="Yes"/>
    <s v="Neha Kapoor"/>
    <x v="1"/>
    <x v="1"/>
  </r>
  <r>
    <x v="2"/>
    <s v="Karan Mehta"/>
    <x v="0"/>
    <n v="31"/>
    <s v="25-35"/>
    <x v="2"/>
    <x v="2"/>
    <x v="2"/>
    <s v="5 Years 11 Months"/>
    <m/>
    <x v="0"/>
    <m/>
    <n v="0"/>
    <n v="62000"/>
    <n v="3"/>
    <s v="Yes"/>
    <s v="Medium"/>
    <s v="Medium"/>
    <n v="18"/>
    <s v="No"/>
    <s v="Rohit Saini"/>
    <x v="2"/>
    <x v="0"/>
  </r>
  <r>
    <x v="3"/>
    <s v="Sneha Arora"/>
    <x v="1"/>
    <n v="26"/>
    <s v="25-35"/>
    <x v="3"/>
    <x v="3"/>
    <x v="3"/>
    <s v="2 Years 4 Months"/>
    <d v="2025-01-05T00:00:00"/>
    <x v="1"/>
    <s v="Stress"/>
    <n v="1"/>
    <n v="52000"/>
    <n v="2"/>
    <s v="Yes"/>
    <s v="Poor"/>
    <s v="Low"/>
    <n v="8"/>
    <s v="No"/>
    <s v="Kavita Jain"/>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1D4FC1-D828-4309-8A74-5200A3AA334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2:E7" firstHeaderRow="1" firstDataRow="1" firstDataCol="1"/>
  <pivotFields count="26">
    <pivotField showAll="0">
      <items count="5">
        <item x="0"/>
        <item x="1"/>
        <item x="2"/>
        <item x="3"/>
        <item t="default"/>
      </items>
    </pivotField>
    <pivotField showAll="0"/>
    <pivotField showAll="0">
      <items count="3">
        <item x="1"/>
        <item x="0"/>
        <item t="default"/>
      </items>
    </pivotField>
    <pivotField showAll="0"/>
    <pivotField showAll="0"/>
    <pivotField axis="axisRow" showAll="0">
      <items count="5">
        <item x="3"/>
        <item x="1"/>
        <item x="2"/>
        <item x="0"/>
        <item t="default"/>
      </items>
    </pivotField>
    <pivotField showAll="0"/>
    <pivotField numFmtId="15" showAll="0">
      <items count="5">
        <item x="1"/>
        <item x="2"/>
        <item x="0"/>
        <item x="3"/>
        <item t="default"/>
      </items>
    </pivotField>
    <pivotField showAll="0"/>
    <pivotField showAll="0"/>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5">
    <i>
      <x/>
    </i>
    <i>
      <x v="1"/>
    </i>
    <i>
      <x v="2"/>
    </i>
    <i>
      <x v="3"/>
    </i>
    <i t="grand">
      <x/>
    </i>
  </rowItems>
  <colItems count="1">
    <i/>
  </colItems>
  <dataFields count="1">
    <dataField name="Sum of Attrition Flag" fld="12"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649284-E4EC-4113-A81C-5CE82D3A807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5" firstHeaderRow="1" firstDataRow="1" firstDataCol="1"/>
  <pivotFields count="26">
    <pivotField dataField="1" showAll="0">
      <items count="5">
        <item x="0"/>
        <item x="1"/>
        <item x="2"/>
        <item x="3"/>
        <item t="default"/>
      </items>
    </pivotField>
    <pivotField showAll="0"/>
    <pivotField showAll="0">
      <items count="3">
        <item x="1"/>
        <item x="0"/>
        <item t="default"/>
      </items>
    </pivotField>
    <pivotField showAll="0"/>
    <pivotField showAll="0"/>
    <pivotField showAll="0">
      <items count="5">
        <item x="3"/>
        <item x="1"/>
        <item x="2"/>
        <item x="0"/>
        <item t="default"/>
      </items>
    </pivotField>
    <pivotField showAll="0"/>
    <pivotField numFmtId="15" showAll="0">
      <items count="5">
        <item x="1"/>
        <item x="2"/>
        <item x="0"/>
        <item x="3"/>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3">
    <i>
      <x/>
    </i>
    <i>
      <x v="1"/>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DCA5C4-6221-4B30-97B8-439A78EFF87B}"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1:E15" firstHeaderRow="1" firstDataRow="1" firstDataCol="1"/>
  <pivotFields count="26">
    <pivotField dataField="1" showAll="0">
      <items count="5">
        <item x="0"/>
        <item x="1"/>
        <item x="2"/>
        <item x="3"/>
        <item t="default"/>
      </items>
    </pivotField>
    <pivotField showAll="0"/>
    <pivotField showAll="0">
      <items count="3">
        <item x="1"/>
        <item x="0"/>
        <item t="default"/>
      </items>
    </pivotField>
    <pivotField showAll="0"/>
    <pivotField showAll="0"/>
    <pivotField showAll="0">
      <items count="5">
        <item x="3"/>
        <item x="1"/>
        <item x="2"/>
        <item x="0"/>
        <item t="default"/>
      </items>
    </pivotField>
    <pivotField showAll="0">
      <items count="5">
        <item x="2"/>
        <item x="3"/>
        <item x="0"/>
        <item x="1"/>
        <item t="default"/>
      </items>
    </pivotField>
    <pivotField numFmtId="15" showAll="0">
      <items count="5">
        <item x="1"/>
        <item x="2"/>
        <item x="0"/>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axis="axisRow"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2"/>
  </rowFields>
  <rowItems count="4">
    <i>
      <x/>
    </i>
    <i>
      <x v="1"/>
    </i>
    <i>
      <x v="2"/>
    </i>
    <i t="grand">
      <x/>
    </i>
  </rowItems>
  <colItems count="1">
    <i/>
  </colItems>
  <dataFields count="1">
    <dataField name="Count of Employee_ID" fld="0"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2AAFA5-4054-48A5-894E-20A7D522FEE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1:B16" firstHeaderRow="1" firstDataRow="1" firstDataCol="1"/>
  <pivotFields count="26">
    <pivotField showAll="0">
      <items count="5">
        <item x="0"/>
        <item x="1"/>
        <item x="2"/>
        <item x="3"/>
        <item t="default"/>
      </items>
    </pivotField>
    <pivotField showAll="0"/>
    <pivotField showAll="0">
      <items count="3">
        <item x="1"/>
        <item x="0"/>
        <item t="default"/>
      </items>
    </pivotField>
    <pivotField showAll="0"/>
    <pivotField showAll="0"/>
    <pivotField showAll="0">
      <items count="5">
        <item x="3"/>
        <item x="1"/>
        <item x="2"/>
        <item x="0"/>
        <item t="default"/>
      </items>
    </pivotField>
    <pivotField axis="axisRow" showAll="0">
      <items count="5">
        <item x="2"/>
        <item x="3"/>
        <item x="0"/>
        <item x="1"/>
        <item t="default"/>
      </items>
    </pivotField>
    <pivotField numFmtId="15" showAll="0">
      <items count="5">
        <item x="1"/>
        <item x="2"/>
        <item x="0"/>
        <item x="3"/>
        <item t="default"/>
      </items>
    </pivotField>
    <pivotField showAll="0"/>
    <pivotField showAll="0"/>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6"/>
  </rowFields>
  <rowItems count="5">
    <i>
      <x/>
    </i>
    <i>
      <x v="1"/>
    </i>
    <i>
      <x v="2"/>
    </i>
    <i>
      <x v="3"/>
    </i>
    <i t="grand">
      <x/>
    </i>
  </rowItems>
  <colItems count="1">
    <i/>
  </colItems>
  <dataFields count="1">
    <dataField name="Sum of Attrition Flag" fld="12" baseField="0" baseItem="0"/>
  </dataFields>
  <chartFormats count="1">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6F504C-FF1B-4123-AACA-03380AA40AF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2:K5" firstHeaderRow="1" firstDataRow="1" firstDataCol="1"/>
  <pivotFields count="26">
    <pivotField dataField="1" showAll="0">
      <items count="5">
        <item x="0"/>
        <item x="1"/>
        <item x="2"/>
        <item x="3"/>
        <item t="default"/>
      </items>
    </pivotField>
    <pivotField showAll="0"/>
    <pivotField axis="axisRow" showAll="0">
      <items count="3">
        <item x="1"/>
        <item x="0"/>
        <item t="default"/>
      </items>
    </pivotField>
    <pivotField showAll="0"/>
    <pivotField showAll="0"/>
    <pivotField showAll="0">
      <items count="5">
        <item x="3"/>
        <item x="1"/>
        <item x="2"/>
        <item x="0"/>
        <item t="default"/>
      </items>
    </pivotField>
    <pivotField showAll="0"/>
    <pivotField numFmtId="15" showAll="0">
      <items count="5">
        <item x="1"/>
        <item x="2"/>
        <item x="0"/>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2"/>
        <item x="1"/>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3">
    <i>
      <x/>
    </i>
    <i>
      <x v="1"/>
    </i>
    <i t="grand">
      <x/>
    </i>
  </rowItems>
  <colItems count="1">
    <i/>
  </colItems>
  <dataFields count="1">
    <dataField name="Count of Employee_ID" fld="0" subtotal="count" baseField="0" baseItem="0"/>
  </dataFields>
  <chartFormats count="3">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2" count="1" selected="0">
            <x v="0"/>
          </reference>
        </references>
      </pivotArea>
    </chartFormat>
    <chartFormat chart="15" format="1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9CBE40-BB9D-4185-BB0D-E7EAF28010D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2:H7" firstHeaderRow="1" firstDataRow="1" firstDataCol="1"/>
  <pivotFields count="26">
    <pivotField dataField="1" showAll="0">
      <items count="5">
        <item x="0"/>
        <item x="1"/>
        <item x="2"/>
        <item x="3"/>
        <item t="default"/>
      </items>
    </pivotField>
    <pivotField showAll="0"/>
    <pivotField showAll="0">
      <items count="3">
        <item x="1"/>
        <item x="0"/>
        <item t="default"/>
      </items>
    </pivotField>
    <pivotField showAll="0"/>
    <pivotField showAll="0"/>
    <pivotField showAll="0">
      <items count="5">
        <item x="3"/>
        <item x="1"/>
        <item x="2"/>
        <item x="0"/>
        <item t="default"/>
      </items>
    </pivotField>
    <pivotField showAll="0"/>
    <pivotField axis="axisRow" numFmtId="15" showAll="0">
      <items count="5">
        <item x="1"/>
        <item x="2"/>
        <item x="0"/>
        <item x="3"/>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2"/>
        <item x="1"/>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5"/>
    <field x="24"/>
    <field x="23"/>
    <field x="7"/>
  </rowFields>
  <rowItems count="5">
    <i>
      <x v="1"/>
    </i>
    <i>
      <x v="2"/>
    </i>
    <i>
      <x v="3"/>
    </i>
    <i>
      <x v="4"/>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B39882D-66FF-4713-BF18-A1D0AE83FF72}" sourceName="Department">
  <pivotTables>
    <pivotTable tabId="4" name="PivotTable3"/>
    <pivotTable tabId="4" name="PivotTable2"/>
    <pivotTable tabId="4" name="PivotTable4"/>
    <pivotTable tabId="4" name="PivotTable5"/>
    <pivotTable tabId="4" name="PivotTable6"/>
    <pivotTable tabId="4" name="PivotTable7"/>
  </pivotTables>
  <data>
    <tabular pivotCacheId="490100998">
      <items count="4">
        <i x="3"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0E3C2E0E-E2BB-4173-B21D-68EAB531FB15}" sourceName="Risk Level">
  <pivotTables>
    <pivotTable tabId="4" name="PivotTable3"/>
    <pivotTable tabId="4" name="PivotTable2"/>
    <pivotTable tabId="4" name="PivotTable4"/>
    <pivotTable tabId="4" name="PivotTable5"/>
    <pivotTable tabId="4" name="PivotTable6"/>
    <pivotTable tabId="4" name="PivotTable7"/>
  </pivotTables>
  <data>
    <tabular pivotCacheId="490100998">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D7C85B3-26C4-4960-8BDA-5AAE6B8F16EA}" sourceName="Location">
  <pivotTables>
    <pivotTable tabId="4" name="PivotTable3"/>
    <pivotTable tabId="4" name="PivotTable2"/>
    <pivotTable tabId="4" name="PivotTable4"/>
    <pivotTable tabId="4" name="PivotTable5"/>
    <pivotTable tabId="4" name="PivotTable6"/>
    <pivotTable tabId="4" name="PivotTable7"/>
  </pivotTables>
  <data>
    <tabular pivotCacheId="490100998">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2AFA01F-9C3C-4BCF-BD34-6725235E9208}" sourceName="Gender">
  <pivotTables>
    <pivotTable tabId="4" name="PivotTable3"/>
    <pivotTable tabId="4" name="PivotTable2"/>
    <pivotTable tabId="4" name="PivotTable4"/>
    <pivotTable tabId="4" name="PivotTable5"/>
    <pivotTable tabId="4" name="PivotTable6"/>
    <pivotTable tabId="4" name="PivotTable7"/>
  </pivotTables>
  <data>
    <tabular pivotCacheId="4901009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D715980-ADD3-47D1-8B7D-427698A18A09}" cache="Slicer_Department" caption="Department" style="Slicer Style 1" rowHeight="241300"/>
  <slicer name="Risk Level" xr10:uid="{4A0C1016-9D9C-4FA5-916D-5C4C560AF00E}" cache="Slicer_Risk_Level" caption="Risk Level" style="Slicer Style 1" rowHeight="241300"/>
  <slicer name="Location" xr10:uid="{D2AEDB4C-508D-4A48-99BF-260179D4CFFB}" cache="Slicer_Location" caption="Location" style="Slicer Style 1" rowHeight="241300"/>
  <slicer name="Gender" xr10:uid="{FC38274E-2868-41AB-B859-1985371F6639}" cache="Slicer_Gender" caption="Gender"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3E0FC-A385-4CC3-9415-1407A11687C1}" name="tbl_hr" displayName="tbl_hr" ref="A1:W5" totalsRowShown="0" headerRowDxfId="25" dataDxfId="24">
  <autoFilter ref="A1:W5" xr:uid="{D8D3E0FC-A385-4CC3-9415-1407A11687C1}"/>
  <tableColumns count="23">
    <tableColumn id="1" xr3:uid="{BE44AB77-17D2-481F-BC80-E58C21A30CFC}" name="Employee_ID" dataDxfId="23"/>
    <tableColumn id="2" xr3:uid="{86CDDA83-A46D-4B13-BE0D-0A50D4AC5C1B}" name="Name" dataDxfId="22"/>
    <tableColumn id="3" xr3:uid="{7FF42532-B035-4379-BCCB-43622F5CC7C9}" name="Gender" dataDxfId="21"/>
    <tableColumn id="4" xr3:uid="{D622A18C-13F8-4356-84B0-E2C83E4E140B}" name="Age" dataDxfId="20"/>
    <tableColumn id="23" xr3:uid="{E556AE4F-044C-4464-961C-9EB080E69917}" name="Age Group" dataDxfId="19">
      <calculatedColumnFormula array="1">_xlfn.IFS(
tbl_hr[[#This Row],[Age]]&lt;25,"Under 25",
tbl_hr[[#This Row],[Age]]&lt;=35,"25-35",
tbl_hr[[#This Row],[Age]]&lt;=45,"36-45",
TRUE,"45+")</calculatedColumnFormula>
    </tableColumn>
    <tableColumn id="5" xr3:uid="{502AA534-2995-4227-A282-12F5BB4228C7}" name="Department" dataDxfId="18"/>
    <tableColumn id="6" xr3:uid="{95AC915A-B0CA-4EB9-BD52-3595920DB10B}" name="Job Role" dataDxfId="17"/>
    <tableColumn id="7" xr3:uid="{A284A011-F06E-4057-B0E9-5AF3ABCE703F}" name="Hire Date" dataDxfId="16"/>
    <tableColumn id="21" xr3:uid="{F5348097-AFD1-41BC-970C-03BF2E3AE22C}" name="Tenure" dataDxfId="15">
      <calculatedColumnFormula>DATEDIF(tbl_hr[[#This Row],[Hire Date]],IF(tbl_hr[[#This Row],[Attrition]]="Yes",tbl_hr[[#This Row],[Exit Date]],TODAY()),"Y") &amp; " Years " &amp; DATEDIF(tbl_hr[[#This Row],[Hire Date]],IF(tbl_hr[[#This Row],[Attrition]]="Yes",tbl_hr[[#This Row],[Exit Date]],TODAY()),"YM") &amp; " Months"</calculatedColumnFormula>
    </tableColumn>
    <tableColumn id="8" xr3:uid="{DDC0FA8E-EA80-4640-B263-A78808BD3404}" name="Exit Date"/>
    <tableColumn id="9" xr3:uid="{9C409901-98A8-4236-A2EB-B64E09E69C1F}" name="Attrition" dataDxfId="14"/>
    <tableColumn id="10" xr3:uid="{8DB270B5-45A8-46CC-B68C-93EC1BA3B484}" name="Attrition Reason" dataDxfId="13"/>
    <tableColumn id="25" xr3:uid="{B2498E41-3225-4E74-B5E1-7291FB2A4D17}" name="Attrition Flag" dataDxfId="12">
      <calculatedColumnFormula>IF(tbl_hr[[#This Row],[Attrition]]="Yes",1,0)</calculatedColumnFormula>
    </tableColumn>
    <tableColumn id="11" xr3:uid="{CA111C5B-D261-4179-BEB1-82FEB562FC42}" name="Salary" dataDxfId="11"/>
    <tableColumn id="12" xr3:uid="{6B924D7B-4869-4C99-B36C-F7BC8F181728}" name="Performance Rating" dataDxfId="10"/>
    <tableColumn id="13" xr3:uid="{735FF780-0B90-41E8-B6BC-7BFA5B73322E}" name="Overtime" dataDxfId="9"/>
    <tableColumn id="14" xr3:uid="{6FBFC44F-869B-4D73-92D9-3B6790066C3F}" name="Work Life Balance" dataDxfId="8"/>
    <tableColumn id="15" xr3:uid="{A40B2388-3090-4FC9-9534-C7F76DEDBCDA}" name="Job Satisfaction" dataDxfId="7"/>
    <tableColumn id="16" xr3:uid="{3770C9CC-200A-49B5-B5AD-EB3E98AC2AD0}" name="Training Hours" dataDxfId="6"/>
    <tableColumn id="17" xr3:uid="{5C2BF994-8282-413D-98DE-3069929371D7}" name="Promotion Last 5Yrs" dataDxfId="5"/>
    <tableColumn id="18" xr3:uid="{293F6B1E-76D2-45D4-8416-33102CBE5FF1}" name="Manager" dataDxfId="4"/>
    <tableColumn id="19" xr3:uid="{30BF0258-CCF4-4BA5-8B8E-41FE9764EDAE}" name="Location" dataDxfId="3"/>
    <tableColumn id="20" xr3:uid="{3B6741DA-6A59-416F-8401-F2BABC9A079F}" name="Risk Level" dataDxfId="2">
      <calculatedColumnFormula array="1">_xlfn.IFS(
AND(tbl_hr[[#This Row],[Overtime]]="Yes",tbl_hr[[#This Row],[Job Satisfaction]]="Low"),"High Risk",
AND(tbl_hr[[#This Row],[Work Life Balance]]="Poor",tbl_hr[[#This Row],[Performance Rating]]&lt;=2),"High Risk",
AND(tbl_hr[[#This Row],[Promotion Last 5Yrs]]="No",tbl_hr[[#This Row],[Tenure]]&gt;4),"Medium Risk",
TRUE,"Low Risk")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8CC27-576B-4453-B47A-C8447ECFF9FB}">
  <dimension ref="A1:W8"/>
  <sheetViews>
    <sheetView workbookViewId="0">
      <selection activeCell="G11" sqref="G11"/>
    </sheetView>
  </sheetViews>
  <sheetFormatPr defaultRowHeight="15" x14ac:dyDescent="0.25"/>
  <cols>
    <col min="1" max="1" width="9.5703125" customWidth="1"/>
    <col min="2" max="2" width="8.7109375" customWidth="1"/>
    <col min="3" max="3" width="7.85546875" customWidth="1"/>
    <col min="4" max="5" width="6.42578125" customWidth="1"/>
    <col min="6" max="6" width="10.85546875" customWidth="1"/>
    <col min="7" max="7" width="10.42578125" customWidth="1"/>
    <col min="8" max="9" width="11.42578125" customWidth="1"/>
    <col min="10" max="10" width="10.28515625" customWidth="1"/>
    <col min="11" max="11" width="8.5703125" customWidth="1"/>
    <col min="12" max="12" width="10.28515625" customWidth="1"/>
    <col min="13" max="13" width="9.85546875" customWidth="1"/>
    <col min="14" max="14" width="7.28515625" customWidth="1"/>
    <col min="15" max="15" width="9.7109375" customWidth="1"/>
    <col min="16" max="16" width="7.5703125" customWidth="1"/>
    <col min="17" max="17" width="9" customWidth="1"/>
    <col min="18" max="18" width="11" customWidth="1"/>
    <col min="19" max="19" width="8.5703125" customWidth="1"/>
    <col min="20" max="20" width="11.28515625" customWidth="1"/>
    <col min="21" max="21" width="9.7109375" customWidth="1"/>
    <col min="22" max="22" width="10.42578125" customWidth="1"/>
    <col min="23" max="23" width="12" customWidth="1"/>
  </cols>
  <sheetData>
    <row r="1" spans="1:23" ht="45" x14ac:dyDescent="0.25">
      <c r="A1" s="2" t="s">
        <v>0</v>
      </c>
      <c r="B1" s="2" t="s">
        <v>1</v>
      </c>
      <c r="C1" s="2" t="s">
        <v>2</v>
      </c>
      <c r="D1" s="2" t="s">
        <v>3</v>
      </c>
      <c r="E1" s="6" t="s">
        <v>54</v>
      </c>
      <c r="F1" s="2" t="s">
        <v>4</v>
      </c>
      <c r="G1" s="2" t="s">
        <v>45</v>
      </c>
      <c r="H1" s="2" t="s">
        <v>46</v>
      </c>
      <c r="I1" s="6" t="s">
        <v>44</v>
      </c>
      <c r="J1" s="2" t="s">
        <v>47</v>
      </c>
      <c r="K1" s="2" t="s">
        <v>5</v>
      </c>
      <c r="L1" s="2" t="s">
        <v>48</v>
      </c>
      <c r="M1" s="6" t="s">
        <v>55</v>
      </c>
      <c r="N1" s="2" t="s">
        <v>6</v>
      </c>
      <c r="O1" s="2" t="s">
        <v>49</v>
      </c>
      <c r="P1" s="2" t="s">
        <v>7</v>
      </c>
      <c r="Q1" s="2" t="s">
        <v>50</v>
      </c>
      <c r="R1" s="2" t="s">
        <v>51</v>
      </c>
      <c r="S1" s="2" t="s">
        <v>52</v>
      </c>
      <c r="T1" s="2" t="s">
        <v>53</v>
      </c>
      <c r="U1" s="2" t="s">
        <v>8</v>
      </c>
      <c r="V1" s="2" t="s">
        <v>9</v>
      </c>
      <c r="W1" s="6" t="s">
        <v>56</v>
      </c>
    </row>
    <row r="2" spans="1:23" ht="30" x14ac:dyDescent="0.25">
      <c r="A2" s="1" t="s">
        <v>10</v>
      </c>
      <c r="B2" s="1" t="s">
        <v>11</v>
      </c>
      <c r="C2" s="1" t="s">
        <v>12</v>
      </c>
      <c r="D2" s="1">
        <v>29</v>
      </c>
      <c r="E2" s="1" t="str" cm="1">
        <f t="array" ref="E2">_xlfn.IFS(
tbl_hr[[#This Row],[Age]]&lt;25,"Under 25",
tbl_hr[[#This Row],[Age]]&lt;=35,"25-35",
tbl_hr[[#This Row],[Age]]&lt;=45,"36-45",
TRUE,"45+")</f>
        <v>25-35</v>
      </c>
      <c r="F2" s="1" t="s">
        <v>13</v>
      </c>
      <c r="G2" s="1" t="s">
        <v>14</v>
      </c>
      <c r="H2" s="3">
        <v>44208</v>
      </c>
      <c r="I2" s="1" t="str">
        <f ca="1">DATEDIF(tbl_hr[[#This Row],[Hire Date]],IF(tbl_hr[[#This Row],[Attrition]]="Yes",tbl_hr[[#This Row],[Exit Date]],TODAY()),"Y") &amp; " Years " &amp; DATEDIF(tbl_hr[[#This Row],[Hire Date]],IF(tbl_hr[[#This Row],[Attrition]]="Yes",tbl_hr[[#This Row],[Exit Date]],TODAY()),"YM") &amp; " Months"</f>
        <v>5 Years 4 Months</v>
      </c>
      <c r="J2" s="1"/>
      <c r="K2" s="1" t="s">
        <v>15</v>
      </c>
      <c r="L2" s="1"/>
      <c r="M2" s="1">
        <f>IF(tbl_hr[[#This Row],[Attrition]]="Yes",1,0)</f>
        <v>0</v>
      </c>
      <c r="N2" s="1">
        <v>45000</v>
      </c>
      <c r="O2" s="1">
        <v>4</v>
      </c>
      <c r="P2" s="1" t="s">
        <v>16</v>
      </c>
      <c r="Q2" s="1" t="s">
        <v>17</v>
      </c>
      <c r="R2" s="1" t="s">
        <v>18</v>
      </c>
      <c r="S2" s="1">
        <v>12</v>
      </c>
      <c r="T2" s="1" t="s">
        <v>15</v>
      </c>
      <c r="U2" s="1" t="s">
        <v>19</v>
      </c>
      <c r="V2" s="1" t="s">
        <v>20</v>
      </c>
      <c r="W2" s="1" t="str" cm="1">
        <f t="array" aca="1" ref="W2" ca="1">_xlfn.IFS(
AND(tbl_hr[[#This Row],[Overtime]]="Yes",tbl_hr[[#This Row],[Job Satisfaction]]="Low"),"High Risk",
AND(tbl_hr[[#This Row],[Work Life Balance]]="Poor",tbl_hr[[#This Row],[Performance Rating]]&lt;=2),"High Risk",
AND(tbl_hr[[#This Row],[Promotion Last 5Yrs]]="No",tbl_hr[[#This Row],[Tenure]]&gt;4),"Medium Risk",
TRUE,"Low Risk")</f>
        <v>Medium Risk</v>
      </c>
    </row>
    <row r="3" spans="1:23" ht="30" x14ac:dyDescent="0.25">
      <c r="A3" s="1" t="s">
        <v>21</v>
      </c>
      <c r="B3" s="1" t="s">
        <v>22</v>
      </c>
      <c r="C3" s="1" t="s">
        <v>23</v>
      </c>
      <c r="D3" s="1">
        <v>35</v>
      </c>
      <c r="E3" s="1" t="str" cm="1">
        <f t="array" ref="E3">_xlfn.IFS(
tbl_hr[[#This Row],[Age]]&lt;25,"Under 25",
tbl_hr[[#This Row],[Age]]&lt;=35,"25-35",
tbl_hr[[#This Row],[Age]]&lt;=45,"36-45",
TRUE,"45+")</f>
        <v>25-35</v>
      </c>
      <c r="F3" s="1" t="s">
        <v>24</v>
      </c>
      <c r="G3" s="1" t="s">
        <v>8</v>
      </c>
      <c r="H3" s="3">
        <v>43511</v>
      </c>
      <c r="I3" s="1" t="str">
        <f ca="1">DATEDIF(tbl_hr[[#This Row],[Hire Date]],IF(tbl_hr[[#This Row],[Attrition]]="Yes",tbl_hr[[#This Row],[Exit Date]],TODAY()),"Y") &amp; " Years " &amp; DATEDIF(tbl_hr[[#This Row],[Hire Date]],IF(tbl_hr[[#This Row],[Attrition]]="Yes",tbl_hr[[#This Row],[Exit Date]],TODAY()),"YM") &amp; " Months"</f>
        <v>5 Years 0 Months</v>
      </c>
      <c r="J3" s="3">
        <v>45361</v>
      </c>
      <c r="K3" s="1" t="s">
        <v>16</v>
      </c>
      <c r="L3" s="1" t="s">
        <v>25</v>
      </c>
      <c r="M3" s="1">
        <f>IF(tbl_hr[[#This Row],[Attrition]]="Yes",1,0)</f>
        <v>1</v>
      </c>
      <c r="N3" s="1">
        <v>78000</v>
      </c>
      <c r="O3" s="1">
        <v>5</v>
      </c>
      <c r="P3" s="1" t="s">
        <v>15</v>
      </c>
      <c r="Q3" s="1" t="s">
        <v>26</v>
      </c>
      <c r="R3" s="1" t="s">
        <v>27</v>
      </c>
      <c r="S3" s="1">
        <v>24</v>
      </c>
      <c r="T3" s="1" t="s">
        <v>16</v>
      </c>
      <c r="U3" s="1" t="s">
        <v>28</v>
      </c>
      <c r="V3" s="1" t="s">
        <v>29</v>
      </c>
      <c r="W3" s="1" t="str" cm="1">
        <f t="array" aca="1" ref="W3" ca="1">_xlfn.IFS(
AND(tbl_hr[[#This Row],[Overtime]]="Yes",tbl_hr[[#This Row],[Job Satisfaction]]="Low"),"High Risk",
AND(tbl_hr[[#This Row],[Work Life Balance]]="Poor",tbl_hr[[#This Row],[Performance Rating]]&lt;=2),"High Risk",
AND(tbl_hr[[#This Row],[Promotion Last 5Yrs]]="No",tbl_hr[[#This Row],[Tenure]]&gt;4),"Medium Risk",
TRUE,"Low Risk")</f>
        <v>Low Risk</v>
      </c>
    </row>
    <row r="4" spans="1:23" ht="30" x14ac:dyDescent="0.25">
      <c r="A4" s="1" t="s">
        <v>30</v>
      </c>
      <c r="B4" s="1" t="s">
        <v>31</v>
      </c>
      <c r="C4" s="1" t="s">
        <v>12</v>
      </c>
      <c r="D4" s="1">
        <v>31</v>
      </c>
      <c r="E4" s="1" t="str" cm="1">
        <f t="array" ref="E4">_xlfn.IFS(
tbl_hr[[#This Row],[Age]]&lt;25,"Under 25",
tbl_hr[[#This Row],[Age]]&lt;=35,"25-35",
tbl_hr[[#This Row],[Age]]&lt;=45,"36-45",
TRUE,"45+")</f>
        <v>25-35</v>
      </c>
      <c r="F4" s="1" t="s">
        <v>32</v>
      </c>
      <c r="G4" s="1" t="s">
        <v>33</v>
      </c>
      <c r="H4" s="3">
        <v>43983</v>
      </c>
      <c r="I4" s="1" t="str">
        <f ca="1">DATEDIF(tbl_hr[[#This Row],[Hire Date]],IF(tbl_hr[[#This Row],[Attrition]]="Yes",tbl_hr[[#This Row],[Exit Date]],TODAY()),"Y") &amp; " Years " &amp; DATEDIF(tbl_hr[[#This Row],[Hire Date]],IF(tbl_hr[[#This Row],[Attrition]]="Yes",tbl_hr[[#This Row],[Exit Date]],TODAY()),"YM") &amp; " Months"</f>
        <v>5 Years 11 Months</v>
      </c>
      <c r="J4" s="1"/>
      <c r="K4" s="1" t="s">
        <v>15</v>
      </c>
      <c r="L4" s="1"/>
      <c r="M4" s="1">
        <f>IF(tbl_hr[[#This Row],[Attrition]]="Yes",1,0)</f>
        <v>0</v>
      </c>
      <c r="N4" s="1">
        <v>62000</v>
      </c>
      <c r="O4" s="1">
        <v>3</v>
      </c>
      <c r="P4" s="1" t="s">
        <v>16</v>
      </c>
      <c r="Q4" s="1" t="s">
        <v>18</v>
      </c>
      <c r="R4" s="1" t="s">
        <v>18</v>
      </c>
      <c r="S4" s="1">
        <v>18</v>
      </c>
      <c r="T4" s="1" t="s">
        <v>15</v>
      </c>
      <c r="U4" s="1" t="s">
        <v>34</v>
      </c>
      <c r="V4" s="1" t="s">
        <v>35</v>
      </c>
      <c r="W4" s="1" t="str" cm="1">
        <f t="array" aca="1" ref="W4" ca="1">_xlfn.IFS(
AND(tbl_hr[[#This Row],[Overtime]]="Yes",tbl_hr[[#This Row],[Job Satisfaction]]="Low"),"High Risk",
AND(tbl_hr[[#This Row],[Work Life Balance]]="Poor",tbl_hr[[#This Row],[Performance Rating]]&lt;=2),"High Risk",
AND(tbl_hr[[#This Row],[Promotion Last 5Yrs]]="No",tbl_hr[[#This Row],[Tenure]]&gt;4),"Medium Risk",
TRUE,"Low Risk")</f>
        <v>Medium Risk</v>
      </c>
    </row>
    <row r="5" spans="1:23" ht="30" x14ac:dyDescent="0.25">
      <c r="A5" s="1" t="s">
        <v>36</v>
      </c>
      <c r="B5" s="1" t="s">
        <v>37</v>
      </c>
      <c r="C5" s="1" t="s">
        <v>23</v>
      </c>
      <c r="D5" s="1">
        <v>26</v>
      </c>
      <c r="E5" s="1" t="str" cm="1">
        <f t="array" ref="E5">_xlfn.IFS(
tbl_hr[[#This Row],[Age]]&lt;25,"Under 25",
tbl_hr[[#This Row],[Age]]&lt;=35,"25-35",
tbl_hr[[#This Row],[Age]]&lt;=45,"36-45",
TRUE,"45+")</f>
        <v>25-35</v>
      </c>
      <c r="F5" s="1" t="s">
        <v>38</v>
      </c>
      <c r="G5" s="1" t="s">
        <v>39</v>
      </c>
      <c r="H5" s="3">
        <v>44793</v>
      </c>
      <c r="I5" s="1" t="str">
        <f ca="1">DATEDIF(tbl_hr[[#This Row],[Hire Date]],IF(tbl_hr[[#This Row],[Attrition]]="Yes",tbl_hr[[#This Row],[Exit Date]],TODAY()),"Y") &amp; " Years " &amp; DATEDIF(tbl_hr[[#This Row],[Hire Date]],IF(tbl_hr[[#This Row],[Attrition]]="Yes",tbl_hr[[#This Row],[Exit Date]],TODAY()),"YM") &amp; " Months"</f>
        <v>2 Years 4 Months</v>
      </c>
      <c r="J5" s="3">
        <v>45662</v>
      </c>
      <c r="K5" s="1" t="s">
        <v>16</v>
      </c>
      <c r="L5" s="1" t="s">
        <v>40</v>
      </c>
      <c r="M5" s="1">
        <f>IF(tbl_hr[[#This Row],[Attrition]]="Yes",1,0)</f>
        <v>1</v>
      </c>
      <c r="N5" s="1">
        <v>52000</v>
      </c>
      <c r="O5" s="1">
        <v>2</v>
      </c>
      <c r="P5" s="1" t="s">
        <v>16</v>
      </c>
      <c r="Q5" s="1" t="s">
        <v>17</v>
      </c>
      <c r="R5" s="1" t="s">
        <v>41</v>
      </c>
      <c r="S5" s="1">
        <v>8</v>
      </c>
      <c r="T5" s="1" t="s">
        <v>15</v>
      </c>
      <c r="U5" s="1" t="s">
        <v>42</v>
      </c>
      <c r="V5" s="1" t="s">
        <v>43</v>
      </c>
      <c r="W5" s="1" t="str" cm="1">
        <f t="array" aca="1" ref="W5" ca="1">_xlfn.IFS(
AND(tbl_hr[[#This Row],[Overtime]]="Yes",tbl_hr[[#This Row],[Job Satisfaction]]="Low"),"High Risk",
AND(tbl_hr[[#This Row],[Work Life Balance]]="Poor",tbl_hr[[#This Row],[Performance Rating]]&lt;=2),"High Risk",
AND(tbl_hr[[#This Row],[Promotion Last 5Yrs]]="No",tbl_hr[[#This Row],[Tenure]]&gt;4),"Medium Risk",
TRUE,"Low Risk")</f>
        <v>High Risk</v>
      </c>
    </row>
    <row r="8" spans="1:23" ht="18.75" x14ac:dyDescent="0.3">
      <c r="G8" s="7" t="s">
        <v>74</v>
      </c>
      <c r="H8" s="7"/>
    </row>
  </sheetData>
  <mergeCells count="1">
    <mergeCell ref="G8:H8"/>
  </mergeCell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0953C-3C84-4764-A95F-29DDC69477D9}">
  <dimension ref="A1:K16"/>
  <sheetViews>
    <sheetView workbookViewId="0">
      <selection activeCell="H10" sqref="H10"/>
    </sheetView>
  </sheetViews>
  <sheetFormatPr defaultRowHeight="15" x14ac:dyDescent="0.25"/>
  <cols>
    <col min="1" max="1" width="13.140625" bestFit="1" customWidth="1"/>
    <col min="2" max="2" width="19.42578125" bestFit="1" customWidth="1"/>
    <col min="4" max="4" width="13.140625" bestFit="1" customWidth="1"/>
    <col min="5" max="5" width="21" bestFit="1" customWidth="1"/>
    <col min="7" max="7" width="13.140625" bestFit="1" customWidth="1"/>
    <col min="8" max="8" width="21" bestFit="1" customWidth="1"/>
    <col min="10" max="10" width="13.140625" bestFit="1" customWidth="1"/>
    <col min="11" max="11" width="21" bestFit="1" customWidth="1"/>
  </cols>
  <sheetData>
    <row r="1" spans="1:11" ht="18.75" x14ac:dyDescent="0.3">
      <c r="A1" s="8" t="s">
        <v>60</v>
      </c>
      <c r="B1" s="8"/>
      <c r="D1" s="8" t="s">
        <v>61</v>
      </c>
      <c r="E1" s="8"/>
      <c r="G1" s="8" t="s">
        <v>63</v>
      </c>
      <c r="H1" s="8"/>
      <c r="J1" s="8" t="s">
        <v>68</v>
      </c>
      <c r="K1" s="8"/>
    </row>
    <row r="2" spans="1:11" x14ac:dyDescent="0.25">
      <c r="A2" s="4" t="s">
        <v>57</v>
      </c>
      <c r="B2" t="s">
        <v>59</v>
      </c>
      <c r="D2" s="4" t="s">
        <v>57</v>
      </c>
      <c r="E2" t="s">
        <v>62</v>
      </c>
      <c r="G2" s="4" t="s">
        <v>57</v>
      </c>
      <c r="H2" t="s">
        <v>59</v>
      </c>
      <c r="J2" s="4" t="s">
        <v>57</v>
      </c>
      <c r="K2" t="s">
        <v>59</v>
      </c>
    </row>
    <row r="3" spans="1:11" x14ac:dyDescent="0.25">
      <c r="A3" s="5" t="s">
        <v>15</v>
      </c>
      <c r="B3" s="34">
        <v>2</v>
      </c>
      <c r="D3" s="5" t="s">
        <v>38</v>
      </c>
      <c r="E3" s="34">
        <v>1</v>
      </c>
      <c r="G3" s="5" t="s">
        <v>64</v>
      </c>
      <c r="H3" s="34">
        <v>1</v>
      </c>
      <c r="J3" s="5" t="s">
        <v>23</v>
      </c>
      <c r="K3" s="34">
        <v>2</v>
      </c>
    </row>
    <row r="4" spans="1:11" x14ac:dyDescent="0.25">
      <c r="A4" s="5" t="s">
        <v>16</v>
      </c>
      <c r="B4" s="34">
        <v>2</v>
      </c>
      <c r="D4" s="5" t="s">
        <v>24</v>
      </c>
      <c r="E4" s="34">
        <v>1</v>
      </c>
      <c r="G4" s="5" t="s">
        <v>65</v>
      </c>
      <c r="H4" s="34">
        <v>1</v>
      </c>
      <c r="J4" s="5" t="s">
        <v>12</v>
      </c>
      <c r="K4" s="34">
        <v>2</v>
      </c>
    </row>
    <row r="5" spans="1:11" x14ac:dyDescent="0.25">
      <c r="A5" s="5" t="s">
        <v>58</v>
      </c>
      <c r="B5" s="34">
        <v>4</v>
      </c>
      <c r="D5" s="5" t="s">
        <v>32</v>
      </c>
      <c r="E5" s="34">
        <v>0</v>
      </c>
      <c r="G5" s="5" t="s">
        <v>66</v>
      </c>
      <c r="H5" s="34">
        <v>1</v>
      </c>
      <c r="J5" s="5" t="s">
        <v>58</v>
      </c>
      <c r="K5" s="34">
        <v>4</v>
      </c>
    </row>
    <row r="6" spans="1:11" x14ac:dyDescent="0.25">
      <c r="D6" s="5" t="s">
        <v>13</v>
      </c>
      <c r="E6" s="34">
        <v>0</v>
      </c>
      <c r="G6" s="5" t="s">
        <v>67</v>
      </c>
      <c r="H6" s="34">
        <v>1</v>
      </c>
    </row>
    <row r="7" spans="1:11" x14ac:dyDescent="0.25">
      <c r="D7" s="5" t="s">
        <v>58</v>
      </c>
      <c r="E7" s="34">
        <v>2</v>
      </c>
      <c r="G7" s="5" t="s">
        <v>58</v>
      </c>
      <c r="H7" s="34">
        <v>4</v>
      </c>
    </row>
    <row r="10" spans="1:11" ht="18.75" x14ac:dyDescent="0.3">
      <c r="A10" s="8" t="s">
        <v>69</v>
      </c>
      <c r="B10" s="8"/>
      <c r="D10" s="8" t="s">
        <v>70</v>
      </c>
      <c r="E10" s="8"/>
    </row>
    <row r="11" spans="1:11" x14ac:dyDescent="0.25">
      <c r="A11" s="4" t="s">
        <v>57</v>
      </c>
      <c r="B11" t="s">
        <v>62</v>
      </c>
      <c r="D11" s="4" t="s">
        <v>57</v>
      </c>
      <c r="E11" t="s">
        <v>59</v>
      </c>
    </row>
    <row r="12" spans="1:11" x14ac:dyDescent="0.25">
      <c r="A12" s="5" t="s">
        <v>33</v>
      </c>
      <c r="B12" s="34">
        <v>0</v>
      </c>
      <c r="D12" s="5" t="s">
        <v>71</v>
      </c>
      <c r="E12" s="34">
        <v>1</v>
      </c>
    </row>
    <row r="13" spans="1:11" x14ac:dyDescent="0.25">
      <c r="A13" s="5" t="s">
        <v>39</v>
      </c>
      <c r="B13" s="34">
        <v>1</v>
      </c>
      <c r="D13" s="5" t="s">
        <v>72</v>
      </c>
      <c r="E13" s="34">
        <v>1</v>
      </c>
    </row>
    <row r="14" spans="1:11" x14ac:dyDescent="0.25">
      <c r="A14" s="5" t="s">
        <v>14</v>
      </c>
      <c r="B14" s="34">
        <v>0</v>
      </c>
      <c r="D14" s="5" t="s">
        <v>73</v>
      </c>
      <c r="E14" s="34">
        <v>2</v>
      </c>
    </row>
    <row r="15" spans="1:11" x14ac:dyDescent="0.25">
      <c r="A15" s="5" t="s">
        <v>8</v>
      </c>
      <c r="B15" s="34">
        <v>1</v>
      </c>
      <c r="D15" s="5" t="s">
        <v>58</v>
      </c>
      <c r="E15" s="34">
        <v>4</v>
      </c>
    </row>
    <row r="16" spans="1:11" x14ac:dyDescent="0.25">
      <c r="A16" s="5" t="s">
        <v>58</v>
      </c>
      <c r="B16" s="34">
        <v>2</v>
      </c>
    </row>
  </sheetData>
  <mergeCells count="6">
    <mergeCell ref="A1:B1"/>
    <mergeCell ref="D1:E1"/>
    <mergeCell ref="G1:H1"/>
    <mergeCell ref="J1:K1"/>
    <mergeCell ref="A10:B10"/>
    <mergeCell ref="D10:E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82F8E-9235-45D0-9751-EAE93BDAB5EA}">
  <dimension ref="A1"/>
  <sheetViews>
    <sheetView showGridLines="0" workbookViewId="0">
      <selection activeCell="I17" sqref="I17"/>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06945-B5F7-480F-AB61-7719560C8D4A}">
  <dimension ref="A1:U27"/>
  <sheetViews>
    <sheetView showGridLines="0" tabSelected="1" zoomScale="80" zoomScaleNormal="80" workbookViewId="0">
      <selection activeCell="T22" sqref="T22"/>
    </sheetView>
  </sheetViews>
  <sheetFormatPr defaultRowHeight="15" x14ac:dyDescent="0.25"/>
  <cols>
    <col min="1" max="1" width="10.5703125" customWidth="1"/>
    <col min="2" max="2" width="10.42578125" customWidth="1"/>
    <col min="5" max="5" width="3.42578125" customWidth="1"/>
    <col min="8" max="8" width="3.7109375" customWidth="1"/>
    <col min="11" max="11" width="3.5703125" customWidth="1"/>
    <col min="13" max="13" width="9.140625" customWidth="1"/>
    <col min="14" max="14" width="3.5703125" customWidth="1"/>
    <col min="15" max="15" width="9.140625" customWidth="1"/>
    <col min="16" max="17" width="10.7109375" customWidth="1"/>
    <col min="18" max="18" width="10.85546875" customWidth="1"/>
    <col min="21" max="21" width="9.140625" style="10"/>
  </cols>
  <sheetData>
    <row r="1" spans="1:20" ht="19.5" customHeight="1" x14ac:dyDescent="0.25">
      <c r="A1" s="35" t="str">
        <f ca="1">"HR Analytics Dashboard - "&amp;TEXT(TODAY(),"MMMM YYYY")</f>
        <v>HR Analytics Dashboard - May 2026</v>
      </c>
      <c r="B1" s="35"/>
      <c r="C1" s="35"/>
      <c r="D1" s="35"/>
      <c r="E1" s="35"/>
      <c r="F1" s="35"/>
      <c r="G1" s="35"/>
      <c r="H1" s="35"/>
      <c r="I1" s="35"/>
      <c r="J1" s="35"/>
      <c r="K1" s="35"/>
      <c r="L1" s="35"/>
      <c r="M1" s="35"/>
      <c r="N1" s="35"/>
      <c r="O1" s="35"/>
      <c r="P1" s="35"/>
      <c r="Q1" s="35"/>
      <c r="R1" s="35"/>
      <c r="S1" s="35"/>
      <c r="T1" s="37"/>
    </row>
    <row r="2" spans="1:20" ht="15" customHeight="1" x14ac:dyDescent="0.5">
      <c r="B2" s="36"/>
      <c r="C2" s="36"/>
      <c r="D2" s="36"/>
      <c r="E2" s="36"/>
      <c r="F2" s="36"/>
      <c r="G2" s="36"/>
      <c r="H2" s="36"/>
      <c r="I2" s="36"/>
      <c r="J2" s="36"/>
      <c r="K2" s="36"/>
      <c r="L2" s="36"/>
      <c r="M2" s="36"/>
      <c r="N2" s="36"/>
      <c r="O2" s="36"/>
      <c r="P2" s="36"/>
      <c r="Q2" s="36"/>
      <c r="R2" s="36"/>
      <c r="S2" s="36"/>
    </row>
    <row r="3" spans="1:20" x14ac:dyDescent="0.25">
      <c r="A3" s="11"/>
      <c r="B3" s="11"/>
      <c r="C3" s="18" t="s">
        <v>75</v>
      </c>
      <c r="D3" s="19"/>
      <c r="E3" s="11"/>
      <c r="F3" s="20" t="s">
        <v>76</v>
      </c>
      <c r="G3" s="21"/>
      <c r="H3" s="11"/>
      <c r="I3" s="64" t="s">
        <v>77</v>
      </c>
      <c r="J3" s="65"/>
      <c r="K3" s="11"/>
      <c r="L3" s="22" t="s">
        <v>60</v>
      </c>
      <c r="M3" s="23"/>
      <c r="N3" s="11"/>
      <c r="O3" s="24" t="s">
        <v>78</v>
      </c>
      <c r="P3" s="25"/>
      <c r="Q3" s="11"/>
      <c r="R3" s="11"/>
      <c r="S3" s="11"/>
      <c r="T3" s="11"/>
    </row>
    <row r="4" spans="1:20" x14ac:dyDescent="0.25">
      <c r="A4" s="11"/>
      <c r="B4" s="9"/>
      <c r="C4" s="26"/>
      <c r="D4" s="27"/>
      <c r="F4" s="28"/>
      <c r="G4" s="29"/>
      <c r="I4" s="66"/>
      <c r="J4" s="67"/>
      <c r="L4" s="30"/>
      <c r="M4" s="31"/>
      <c r="O4" s="32"/>
      <c r="P4" s="33"/>
      <c r="S4" s="12"/>
      <c r="T4" s="11"/>
    </row>
    <row r="5" spans="1:20" ht="24.75" customHeight="1" x14ac:dyDescent="0.5">
      <c r="A5" s="11"/>
      <c r="B5" s="9"/>
      <c r="C5" s="38"/>
      <c r="D5" s="39"/>
      <c r="F5" s="44"/>
      <c r="G5" s="45"/>
      <c r="I5" s="50"/>
      <c r="J5" s="51"/>
      <c r="L5" s="52"/>
      <c r="M5" s="53"/>
      <c r="O5" s="58"/>
      <c r="P5" s="59"/>
      <c r="S5" s="12"/>
      <c r="T5" s="11"/>
    </row>
    <row r="6" spans="1:20" ht="15.75" customHeight="1" x14ac:dyDescent="0.5">
      <c r="A6" s="11"/>
      <c r="B6" s="9"/>
      <c r="C6" s="38"/>
      <c r="D6" s="39"/>
      <c r="F6" s="44"/>
      <c r="G6" s="45"/>
      <c r="I6" s="50"/>
      <c r="J6" s="51"/>
      <c r="L6" s="52"/>
      <c r="M6" s="53"/>
      <c r="O6" s="58"/>
      <c r="P6" s="59"/>
      <c r="S6" s="12"/>
      <c r="T6" s="11"/>
    </row>
    <row r="7" spans="1:20" ht="15" customHeight="1" x14ac:dyDescent="0.5">
      <c r="A7" s="11"/>
      <c r="B7" s="9"/>
      <c r="C7" s="38"/>
      <c r="D7" s="39"/>
      <c r="F7" s="44"/>
      <c r="G7" s="45"/>
      <c r="I7" s="50"/>
      <c r="J7" s="51"/>
      <c r="L7" s="52"/>
      <c r="M7" s="53"/>
      <c r="O7" s="58"/>
      <c r="P7" s="59"/>
      <c r="S7" s="12"/>
      <c r="T7" s="11"/>
    </row>
    <row r="8" spans="1:20" ht="15" customHeight="1" x14ac:dyDescent="0.25">
      <c r="A8" s="11"/>
      <c r="B8" s="9"/>
      <c r="C8" s="40">
        <f>COUNTA(tbl_hr[Employee_ID])</f>
        <v>4</v>
      </c>
      <c r="D8" s="41"/>
      <c r="F8" s="46">
        <f>COUNTIF(tbl_hr[Attrition],"No")</f>
        <v>2</v>
      </c>
      <c r="G8" s="47"/>
      <c r="I8" s="68">
        <f>COUNTIF(tbl_hr[Attrition],"Yes")</f>
        <v>2</v>
      </c>
      <c r="J8" s="69"/>
      <c r="L8" s="54">
        <f>COUNTIF(tbl_hr[Attrition],"Yes")/COUNTA(tbl_hr[Employee_ID])</f>
        <v>0.5</v>
      </c>
      <c r="M8" s="55"/>
      <c r="O8" s="60">
        <f>AVERAGE(tbl_hr[Salary])</f>
        <v>59250</v>
      </c>
      <c r="P8" s="61"/>
      <c r="S8" s="12"/>
      <c r="T8" s="11"/>
    </row>
    <row r="9" spans="1:20" ht="15" customHeight="1" x14ac:dyDescent="0.25">
      <c r="A9" s="11"/>
      <c r="B9" s="9"/>
      <c r="C9" s="42"/>
      <c r="D9" s="43"/>
      <c r="F9" s="48"/>
      <c r="G9" s="49"/>
      <c r="I9" s="70"/>
      <c r="J9" s="71"/>
      <c r="L9" s="56"/>
      <c r="M9" s="57"/>
      <c r="O9" s="62"/>
      <c r="P9" s="63"/>
      <c r="S9" s="12"/>
      <c r="T9" s="11"/>
    </row>
    <row r="10" spans="1:20" ht="15" customHeight="1" x14ac:dyDescent="0.25">
      <c r="A10" s="11"/>
      <c r="B10" s="9"/>
      <c r="C10" s="9"/>
      <c r="D10" s="12"/>
      <c r="G10" s="12"/>
      <c r="J10" s="12"/>
      <c r="M10" s="12"/>
      <c r="P10" s="12"/>
      <c r="S10" s="12"/>
      <c r="T10" s="11"/>
    </row>
    <row r="11" spans="1:20" ht="15" customHeight="1" x14ac:dyDescent="0.5">
      <c r="A11" s="11"/>
      <c r="B11" s="13"/>
      <c r="C11" s="13"/>
      <c r="D11" s="11"/>
      <c r="E11" s="14"/>
      <c r="F11" s="14"/>
      <c r="G11" s="11"/>
      <c r="H11" s="15"/>
      <c r="I11" s="15"/>
      <c r="J11" s="11"/>
      <c r="K11" s="16"/>
      <c r="L11" s="16"/>
      <c r="M11" s="11"/>
      <c r="N11" s="17"/>
      <c r="O11" s="17"/>
      <c r="P11" s="11"/>
      <c r="Q11" s="11"/>
      <c r="R11" s="11"/>
      <c r="S11" s="11"/>
      <c r="T11" s="11"/>
    </row>
    <row r="12" spans="1:20" ht="15" customHeight="1" x14ac:dyDescent="0.5">
      <c r="A12" s="11"/>
      <c r="B12" s="13"/>
      <c r="C12" s="13"/>
      <c r="D12" s="11"/>
      <c r="E12" s="14"/>
      <c r="F12" s="14"/>
      <c r="G12" s="11"/>
      <c r="H12" s="15"/>
      <c r="I12" s="15"/>
      <c r="J12" s="11"/>
      <c r="K12" s="16"/>
      <c r="L12" s="16"/>
      <c r="M12" s="11"/>
      <c r="N12" s="17"/>
      <c r="O12" s="17"/>
      <c r="P12" s="11"/>
      <c r="Q12" s="11"/>
      <c r="R12" s="11"/>
      <c r="S12" s="11"/>
      <c r="T12" s="11"/>
    </row>
    <row r="13" spans="1:20" ht="15" customHeight="1" x14ac:dyDescent="0.5">
      <c r="A13" s="11"/>
      <c r="B13" s="13"/>
      <c r="C13" s="13"/>
      <c r="D13" s="11"/>
      <c r="E13" s="14"/>
      <c r="F13" s="14"/>
      <c r="G13" s="11"/>
      <c r="H13" s="15"/>
      <c r="I13" s="15"/>
      <c r="J13" s="11"/>
      <c r="K13" s="16"/>
      <c r="L13" s="16"/>
      <c r="M13" s="11"/>
      <c r="N13" s="17"/>
      <c r="O13" s="17"/>
      <c r="P13" s="11"/>
      <c r="Q13" s="11"/>
      <c r="R13" s="11"/>
      <c r="S13" s="11"/>
      <c r="T13" s="11"/>
    </row>
    <row r="14" spans="1:20" ht="15" customHeight="1" x14ac:dyDescent="0.5">
      <c r="A14" s="11"/>
      <c r="B14" s="13"/>
      <c r="C14" s="13"/>
      <c r="D14" s="11"/>
      <c r="E14" s="14"/>
      <c r="F14" s="14"/>
      <c r="G14" s="11"/>
      <c r="H14" s="15"/>
      <c r="I14" s="15"/>
      <c r="J14" s="11"/>
      <c r="K14" s="16"/>
      <c r="L14" s="16"/>
      <c r="M14" s="11"/>
      <c r="N14" s="17"/>
      <c r="O14" s="17"/>
      <c r="P14" s="11"/>
      <c r="Q14" s="11"/>
      <c r="R14" s="11"/>
      <c r="S14" s="11"/>
      <c r="T14" s="11"/>
    </row>
    <row r="15" spans="1:20" x14ac:dyDescent="0.25">
      <c r="A15" s="11"/>
      <c r="B15" s="11"/>
      <c r="C15" s="11"/>
      <c r="D15" s="11"/>
      <c r="E15" s="11"/>
      <c r="F15" s="11"/>
      <c r="G15" s="11"/>
      <c r="H15" s="11"/>
      <c r="I15" s="11"/>
      <c r="J15" s="11"/>
      <c r="K15" s="11"/>
      <c r="L15" s="11"/>
      <c r="M15" s="11"/>
      <c r="N15" s="11"/>
      <c r="O15" s="11"/>
      <c r="P15" s="11"/>
      <c r="Q15" s="11"/>
      <c r="R15" s="11"/>
      <c r="S15" s="11"/>
      <c r="T15" s="11"/>
    </row>
    <row r="16" spans="1:20" x14ac:dyDescent="0.25">
      <c r="A16" s="11"/>
      <c r="B16" s="11"/>
      <c r="C16" s="11"/>
      <c r="D16" s="11"/>
      <c r="E16" s="11"/>
      <c r="F16" s="11"/>
      <c r="G16" s="11"/>
      <c r="H16" s="11"/>
      <c r="I16" s="11"/>
      <c r="J16" s="11"/>
      <c r="K16" s="11"/>
      <c r="L16" s="11"/>
      <c r="M16" s="11"/>
      <c r="N16" s="11"/>
      <c r="O16" s="11"/>
      <c r="P16" s="11"/>
      <c r="Q16" s="11"/>
      <c r="R16" s="11"/>
      <c r="S16" s="11"/>
      <c r="T16" s="11"/>
    </row>
    <row r="17" spans="1:20" x14ac:dyDescent="0.25">
      <c r="A17" s="11"/>
      <c r="B17" s="11"/>
      <c r="C17" s="11"/>
      <c r="D17" s="11"/>
      <c r="E17" s="11"/>
      <c r="F17" s="11"/>
      <c r="G17" s="11"/>
      <c r="H17" s="11"/>
      <c r="I17" s="11"/>
      <c r="J17" s="11"/>
      <c r="K17" s="11"/>
      <c r="L17" s="11"/>
      <c r="M17" s="11"/>
      <c r="N17" s="11"/>
      <c r="O17" s="11"/>
      <c r="P17" s="11"/>
      <c r="Q17" s="11"/>
      <c r="R17" s="11"/>
      <c r="S17" s="11"/>
      <c r="T17" s="11"/>
    </row>
    <row r="18" spans="1:20" x14ac:dyDescent="0.25">
      <c r="A18" s="11"/>
      <c r="B18" s="11"/>
      <c r="C18" s="11"/>
      <c r="D18" s="11"/>
      <c r="E18" s="11"/>
      <c r="F18" s="11"/>
      <c r="G18" s="11"/>
      <c r="H18" s="11"/>
      <c r="I18" s="11"/>
      <c r="J18" s="11"/>
      <c r="K18" s="11"/>
      <c r="L18" s="11"/>
      <c r="M18" s="11"/>
      <c r="N18" s="11"/>
      <c r="O18" s="11"/>
      <c r="P18" s="11"/>
      <c r="Q18" s="11"/>
      <c r="R18" s="11"/>
      <c r="S18" s="11"/>
      <c r="T18" s="11"/>
    </row>
    <row r="19" spans="1:20" x14ac:dyDescent="0.25">
      <c r="A19" s="11"/>
      <c r="B19" s="11"/>
      <c r="C19" s="11"/>
      <c r="D19" s="11"/>
      <c r="E19" s="11"/>
      <c r="F19" s="11"/>
      <c r="G19" s="11"/>
      <c r="H19" s="11"/>
      <c r="I19" s="11"/>
      <c r="J19" s="11"/>
      <c r="K19" s="11"/>
      <c r="L19" s="11"/>
      <c r="M19" s="11"/>
      <c r="N19" s="11"/>
      <c r="O19" s="11"/>
      <c r="P19" s="11"/>
      <c r="Q19" s="11"/>
      <c r="R19" s="11"/>
      <c r="S19" s="11"/>
      <c r="T19" s="11"/>
    </row>
    <row r="20" spans="1:20" x14ac:dyDescent="0.25">
      <c r="A20" s="11"/>
      <c r="B20" s="11"/>
      <c r="C20" s="11"/>
      <c r="D20" s="11"/>
      <c r="E20" s="11"/>
      <c r="F20" s="11"/>
      <c r="G20" s="11"/>
      <c r="H20" s="11"/>
      <c r="I20" s="11"/>
      <c r="J20" s="11"/>
      <c r="K20" s="11"/>
      <c r="L20" s="11"/>
      <c r="M20" s="11"/>
      <c r="N20" s="11"/>
      <c r="O20" s="11"/>
      <c r="P20" s="11"/>
      <c r="Q20" s="11"/>
      <c r="R20" s="11"/>
      <c r="S20" s="11"/>
      <c r="T20" s="11"/>
    </row>
    <row r="21" spans="1:20" x14ac:dyDescent="0.25">
      <c r="A21" s="11"/>
      <c r="B21" s="11"/>
      <c r="C21" s="11"/>
      <c r="D21" s="11"/>
      <c r="E21" s="11"/>
      <c r="F21" s="11"/>
      <c r="G21" s="11"/>
      <c r="H21" s="11"/>
      <c r="I21" s="11"/>
      <c r="J21" s="11"/>
      <c r="K21" s="11"/>
      <c r="L21" s="11"/>
      <c r="M21" s="11"/>
      <c r="N21" s="11"/>
      <c r="O21" s="11"/>
      <c r="P21" s="11"/>
      <c r="Q21" s="11"/>
      <c r="R21" s="11"/>
      <c r="S21" s="11"/>
      <c r="T21" s="11"/>
    </row>
    <row r="22" spans="1:20" ht="15" customHeight="1" x14ac:dyDescent="0.25">
      <c r="A22" s="11"/>
      <c r="B22" s="11"/>
      <c r="C22" s="72"/>
      <c r="D22" s="73"/>
      <c r="E22" s="89" t="s">
        <v>80</v>
      </c>
      <c r="F22" s="82"/>
      <c r="G22" s="82"/>
      <c r="H22" s="82"/>
      <c r="I22" s="82"/>
      <c r="J22" s="82"/>
      <c r="K22" s="82"/>
      <c r="L22" s="82"/>
      <c r="M22" s="82"/>
      <c r="N22" s="82"/>
      <c r="O22" s="82"/>
      <c r="P22" s="83"/>
      <c r="Q22" s="88"/>
      <c r="R22" s="88"/>
      <c r="S22" s="88"/>
      <c r="T22" s="88"/>
    </row>
    <row r="23" spans="1:20" ht="15" customHeight="1" x14ac:dyDescent="0.25">
      <c r="A23" s="11"/>
      <c r="B23" s="11"/>
      <c r="C23" s="74"/>
      <c r="D23" s="75"/>
      <c r="E23" s="90"/>
      <c r="F23" s="84"/>
      <c r="G23" s="84"/>
      <c r="H23" s="84"/>
      <c r="I23" s="84"/>
      <c r="J23" s="84"/>
      <c r="K23" s="84"/>
      <c r="L23" s="84"/>
      <c r="M23" s="84"/>
      <c r="N23" s="84"/>
      <c r="O23" s="84"/>
      <c r="P23" s="85"/>
      <c r="Q23" s="88"/>
      <c r="R23" s="88"/>
      <c r="S23" s="88"/>
      <c r="T23" s="88"/>
    </row>
    <row r="24" spans="1:20" ht="15" customHeight="1" x14ac:dyDescent="0.25">
      <c r="A24" s="11"/>
      <c r="B24" s="11"/>
      <c r="C24" s="74"/>
      <c r="D24" s="75"/>
      <c r="E24" s="90"/>
      <c r="F24" s="84"/>
      <c r="G24" s="84"/>
      <c r="H24" s="84"/>
      <c r="I24" s="84"/>
      <c r="J24" s="84"/>
      <c r="K24" s="84"/>
      <c r="L24" s="84"/>
      <c r="M24" s="84"/>
      <c r="N24" s="84"/>
      <c r="O24" s="84"/>
      <c r="P24" s="85"/>
      <c r="Q24" s="88"/>
      <c r="R24" s="88"/>
      <c r="S24" s="88"/>
      <c r="T24" s="88"/>
    </row>
    <row r="25" spans="1:20" ht="15" customHeight="1" x14ac:dyDescent="0.25">
      <c r="A25" s="11"/>
      <c r="B25" s="11"/>
      <c r="C25" s="76"/>
      <c r="D25" s="77"/>
      <c r="E25" s="90"/>
      <c r="F25" s="84"/>
      <c r="G25" s="84"/>
      <c r="H25" s="84"/>
      <c r="I25" s="84"/>
      <c r="J25" s="84"/>
      <c r="K25" s="84"/>
      <c r="L25" s="84"/>
      <c r="M25" s="84"/>
      <c r="N25" s="84"/>
      <c r="O25" s="84"/>
      <c r="P25" s="85"/>
      <c r="Q25" s="88"/>
      <c r="R25" s="88"/>
      <c r="S25" s="88"/>
      <c r="T25" s="88"/>
    </row>
    <row r="26" spans="1:20" ht="15" customHeight="1" x14ac:dyDescent="0.25">
      <c r="A26" s="11"/>
      <c r="B26" s="11"/>
      <c r="C26" s="78" t="s">
        <v>79</v>
      </c>
      <c r="D26" s="79"/>
      <c r="E26" s="90"/>
      <c r="F26" s="84"/>
      <c r="G26" s="84"/>
      <c r="H26" s="84"/>
      <c r="I26" s="84"/>
      <c r="J26" s="84"/>
      <c r="K26" s="84"/>
      <c r="L26" s="84"/>
      <c r="M26" s="84"/>
      <c r="N26" s="84"/>
      <c r="O26" s="84"/>
      <c r="P26" s="85"/>
      <c r="Q26" s="88"/>
      <c r="R26" s="88"/>
      <c r="S26" s="88"/>
      <c r="T26" s="88"/>
    </row>
    <row r="27" spans="1:20" ht="15" customHeight="1" x14ac:dyDescent="0.25">
      <c r="C27" s="80"/>
      <c r="D27" s="81"/>
      <c r="E27" s="91"/>
      <c r="F27" s="86"/>
      <c r="G27" s="86"/>
      <c r="H27" s="86"/>
      <c r="I27" s="86"/>
      <c r="J27" s="86"/>
      <c r="K27" s="86"/>
      <c r="L27" s="86"/>
      <c r="M27" s="86"/>
      <c r="N27" s="86"/>
      <c r="O27" s="86"/>
      <c r="P27" s="87"/>
      <c r="Q27" s="88"/>
      <c r="R27" s="88"/>
      <c r="S27" s="88"/>
      <c r="T27" s="88"/>
    </row>
  </sheetData>
  <mergeCells count="14">
    <mergeCell ref="A1:S1"/>
    <mergeCell ref="C26:D27"/>
    <mergeCell ref="E22:P27"/>
    <mergeCell ref="L8:M9"/>
    <mergeCell ref="O8:P9"/>
    <mergeCell ref="C8:D9"/>
    <mergeCell ref="F8:G9"/>
    <mergeCell ref="I8:J9"/>
    <mergeCell ref="C3:D4"/>
    <mergeCell ref="U1:U1048576"/>
    <mergeCell ref="F3:G4"/>
    <mergeCell ref="I3:J4"/>
    <mergeCell ref="L3:M4"/>
    <mergeCell ref="O3: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HR_Data</vt:lpstr>
      <vt:lpstr>Pivots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Sharma</dc:creator>
  <cp:lastModifiedBy>Amit Sharma</cp:lastModifiedBy>
  <dcterms:created xsi:type="dcterms:W3CDTF">2026-05-15T07:18:42Z</dcterms:created>
  <dcterms:modified xsi:type="dcterms:W3CDTF">2026-05-16T10:07:48Z</dcterms:modified>
</cp:coreProperties>
</file>
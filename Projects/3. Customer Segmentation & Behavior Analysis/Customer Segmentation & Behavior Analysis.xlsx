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amita\Desktop\"/>
    </mc:Choice>
  </mc:AlternateContent>
  <xr:revisionPtr revIDLastSave="0" documentId="13_ncr:1_{286472FB-4B48-4F9E-BCF2-BFDDCAB9E0E9}" xr6:coauthVersionLast="47" xr6:coauthVersionMax="47" xr10:uidLastSave="{00000000-0000-0000-0000-000000000000}"/>
  <bookViews>
    <workbookView xWindow="-120" yWindow="-120" windowWidth="20730" windowHeight="11280" activeTab="3" xr2:uid="{196FF396-C424-41EE-AA7A-CDC35C5CAB92}"/>
  </bookViews>
  <sheets>
    <sheet name="Raw_Data" sheetId="1" r:id="rId1"/>
    <sheet name="Pivots" sheetId="6" r:id="rId2"/>
    <sheet name="Customer_Summary" sheetId="2" r:id="rId3"/>
    <sheet name="Dashboard" sheetId="3" r:id="rId4"/>
  </sheets>
  <definedNames>
    <definedName name="Slicer_Customer_Name">#N/A</definedName>
    <definedName name="Slicer_Segment">#N/A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10" i="2"/>
  <c r="I11" i="2"/>
  <c r="F3" i="2"/>
  <c r="G3" i="2" s="1"/>
  <c r="F7" i="2"/>
  <c r="G7" i="2" s="1"/>
  <c r="F11" i="2"/>
  <c r="G11" i="2" s="1"/>
  <c r="E3" i="2"/>
  <c r="E4" i="2"/>
  <c r="E5" i="2"/>
  <c r="F5" i="2" s="1"/>
  <c r="G5" i="2" s="1"/>
  <c r="E6" i="2"/>
  <c r="F6" i="2" s="1"/>
  <c r="G6" i="2" s="1"/>
  <c r="E7" i="2"/>
  <c r="E8" i="2"/>
  <c r="F8" i="2" s="1"/>
  <c r="G8" i="2" s="1"/>
  <c r="E9" i="2"/>
  <c r="F9" i="2" s="1"/>
  <c r="G9" i="2" s="1"/>
  <c r="E10" i="2"/>
  <c r="F10" i="2" s="1"/>
  <c r="G10" i="2" s="1"/>
  <c r="E11" i="2"/>
  <c r="D3" i="2"/>
  <c r="H3" i="2" s="1"/>
  <c r="D4" i="2"/>
  <c r="H4" i="2" s="1"/>
  <c r="D5" i="2"/>
  <c r="H5" i="2" s="1"/>
  <c r="D6" i="2"/>
  <c r="H6" i="2" s="1"/>
  <c r="D7" i="2"/>
  <c r="H7" i="2" s="1"/>
  <c r="D8" i="2"/>
  <c r="H8" i="2" s="1"/>
  <c r="D9" i="2"/>
  <c r="H9" i="2" s="1"/>
  <c r="D10" i="2"/>
  <c r="H10" i="2" s="1"/>
  <c r="D11" i="2"/>
  <c r="H11" i="2" s="1"/>
  <c r="C3" i="2"/>
  <c r="C4" i="2"/>
  <c r="I4" i="2" s="1"/>
  <c r="C5" i="2"/>
  <c r="I5" i="2" s="1"/>
  <c r="C6" i="2"/>
  <c r="I6" i="2" s="1"/>
  <c r="C7" i="2"/>
  <c r="I7" i="2" s="1"/>
  <c r="C8" i="2"/>
  <c r="I8" i="2" s="1"/>
  <c r="C9" i="2"/>
  <c r="I9" i="2" s="1"/>
  <c r="C10" i="2"/>
  <c r="C11" i="2"/>
  <c r="A2" i="2" a="1"/>
  <c r="A2" i="2" s="1"/>
  <c r="B2" i="2" s="1"/>
  <c r="B3" i="2"/>
  <c r="B4" i="2"/>
  <c r="B5" i="2"/>
  <c r="B6" i="2"/>
  <c r="B7" i="2"/>
  <c r="B8" i="2"/>
  <c r="B9" i="2"/>
  <c r="B10" i="2"/>
  <c r="B11" i="2"/>
  <c r="K6" i="2" l="1"/>
  <c r="F4" i="2"/>
  <c r="G4" i="2" s="1"/>
  <c r="K10" i="2"/>
  <c r="K8" i="2"/>
  <c r="J8" i="2"/>
  <c r="K7" i="2"/>
  <c r="J6" i="2"/>
  <c r="D2" i="2"/>
  <c r="H2" i="2" s="1"/>
  <c r="H5" i="3"/>
  <c r="E2" i="2"/>
  <c r="C2" i="2"/>
  <c r="K11" i="2"/>
  <c r="K3" i="2"/>
  <c r="K9" i="2"/>
  <c r="J9" i="2"/>
  <c r="K5" i="2"/>
  <c r="J5" i="2"/>
  <c r="J10" i="2"/>
  <c r="J11" i="2"/>
  <c r="J7" i="2"/>
  <c r="J3" i="2"/>
  <c r="K4" i="2" l="1"/>
  <c r="J4" i="2"/>
  <c r="F2" i="2"/>
  <c r="G2" i="2" s="1"/>
  <c r="K5" i="3"/>
  <c r="I2" i="2"/>
  <c r="F5" i="3"/>
  <c r="J2" i="2" l="1"/>
  <c r="K2" i="2"/>
  <c r="O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sharma</author>
  </authors>
  <commentList>
    <comment ref="A2" authorId="0" shapeId="0" xr:uid="{387BFD77-B252-4592-8D15-E499A6EE6EA8}">
      <text>
        <r>
          <rPr>
            <b/>
            <sz val="9"/>
            <color indexed="81"/>
            <rFont val="Tahoma"/>
            <family val="2"/>
          </rPr>
          <t>amit sharma:</t>
        </r>
        <r>
          <rPr>
            <sz val="9"/>
            <color indexed="81"/>
            <rFont val="Tahoma"/>
            <family val="2"/>
          </rPr>
          <t xml:space="preserve">
=UNIQUE(Raw_Data!B2:B31)
This formula extracts all unique customer IDs from the raw data.
</t>
        </r>
      </text>
    </comment>
    <comment ref="B2" authorId="0" shapeId="0" xr:uid="{976D2226-0F33-42C6-A0E3-DDAB07BE87B0}">
      <text>
        <r>
          <rPr>
            <b/>
            <sz val="9"/>
            <color indexed="81"/>
            <rFont val="Tahoma"/>
            <family val="2"/>
          </rPr>
          <t>amit sharma:</t>
        </r>
        <r>
          <rPr>
            <sz val="9"/>
            <color indexed="81"/>
            <rFont val="Tahoma"/>
            <family val="2"/>
          </rPr>
          <t xml:space="preserve">
=XLOOKUP(A2,Raw_Data!B:B,Raw_Data!C:C)
Find customer name using customer ID.</t>
        </r>
      </text>
    </comment>
    <comment ref="C2" authorId="0" shapeId="0" xr:uid="{6EE71A42-597B-4ACD-8013-6BCD8082DC57}">
      <text>
        <r>
          <rPr>
            <b/>
            <sz val="9"/>
            <color indexed="81"/>
            <rFont val="Tahoma"/>
            <family val="2"/>
          </rPr>
          <t>amit sharma:</t>
        </r>
        <r>
          <rPr>
            <sz val="9"/>
            <color indexed="81"/>
            <rFont val="Tahoma"/>
            <family val="2"/>
          </rPr>
          <t xml:space="preserve">
=SUMIFS(Raw_Data!E:E,Raw_Data!B:B,A2)
Total money spent by customer</t>
        </r>
      </text>
    </comment>
    <comment ref="D2" authorId="0" shapeId="0" xr:uid="{4B8CD2B3-E73A-4899-9443-62AB28E2C9F9}">
      <text>
        <r>
          <rPr>
            <b/>
            <sz val="9"/>
            <color indexed="81"/>
            <rFont val="Tahoma"/>
            <family val="2"/>
          </rPr>
          <t>amit sharma:</t>
        </r>
        <r>
          <rPr>
            <sz val="9"/>
            <color indexed="81"/>
            <rFont val="Tahoma"/>
            <family val="2"/>
          </rPr>
          <t xml:space="preserve">
=COUNTIFS(Raw_Data!B:B,A2)
Number of orders</t>
        </r>
      </text>
    </comment>
    <comment ref="E2" authorId="0" shapeId="0" xr:uid="{B381B866-A2CA-4933-B182-F3A29D75C6B2}">
      <text>
        <r>
          <rPr>
            <b/>
            <sz val="9"/>
            <color indexed="81"/>
            <rFont val="Tahoma"/>
            <family val="2"/>
          </rPr>
          <t>amit sharma:</t>
        </r>
        <r>
          <rPr>
            <sz val="9"/>
            <color indexed="81"/>
            <rFont val="Tahoma"/>
            <family val="2"/>
          </rPr>
          <t xml:space="preserve">
=MAXIFS(Raw_Data!D:D,Raw_Data!B:B,A2)</t>
        </r>
      </text>
    </comment>
    <comment ref="F2" authorId="0" shapeId="0" xr:uid="{C127C5AB-DEE8-4756-BC7D-6735F9DA89F0}">
      <text>
        <r>
          <rPr>
            <b/>
            <sz val="9"/>
            <color indexed="81"/>
            <rFont val="Tahoma"/>
            <family val="2"/>
          </rPr>
          <t>amit sharma:</t>
        </r>
        <r>
          <rPr>
            <sz val="9"/>
            <color indexed="81"/>
            <rFont val="Tahoma"/>
            <family val="2"/>
          </rPr>
          <t xml:space="preserve">
=$J$1-E2
Meaning:
Smaller number = more recent customer
Larger number = inactive customer</t>
        </r>
      </text>
    </comment>
    <comment ref="L2" authorId="0" shapeId="0" xr:uid="{11386991-539F-4C22-96BF-FF5D6901C777}">
      <text>
        <r>
          <rPr>
            <b/>
            <sz val="9"/>
            <color indexed="81"/>
            <rFont val="Tahoma"/>
            <family val="2"/>
          </rPr>
          <t>amit sharma:</t>
        </r>
        <r>
          <rPr>
            <sz val="9"/>
            <color indexed="81"/>
            <rFont val="Tahoma"/>
            <family val="2"/>
          </rPr>
          <t xml:space="preserve">
Analysis Date OR Snapshot Date to calculate recency
Recency means:
“How many days ago did the customer purchase?”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<sst xmlns="http://schemas.openxmlformats.org/spreadsheetml/2006/main" count="95" uniqueCount="47">
  <si>
    <t>Order_ID</t>
  </si>
  <si>
    <t>Customer_ID</t>
  </si>
  <si>
    <t>Customer_Name</t>
  </si>
  <si>
    <t>Order_Date</t>
  </si>
  <si>
    <t>Revenue</t>
  </si>
  <si>
    <t>C001</t>
  </si>
  <si>
    <t>Amit</t>
  </si>
  <si>
    <t>C002</t>
  </si>
  <si>
    <t>Rahul</t>
  </si>
  <si>
    <t>C003</t>
  </si>
  <si>
    <t>Priya</t>
  </si>
  <si>
    <t>C004</t>
  </si>
  <si>
    <t>Neha</t>
  </si>
  <si>
    <t>C005</t>
  </si>
  <si>
    <t>Karan</t>
  </si>
  <si>
    <t>C006</t>
  </si>
  <si>
    <t>Meera</t>
  </si>
  <si>
    <t>C007</t>
  </si>
  <si>
    <t>Ravi</t>
  </si>
  <si>
    <t>C008</t>
  </si>
  <si>
    <t>Sonia</t>
  </si>
  <si>
    <t>C009</t>
  </si>
  <si>
    <t>Vikram</t>
  </si>
  <si>
    <t>C010</t>
  </si>
  <si>
    <t>Pooja</t>
  </si>
  <si>
    <t>Total_Revenue</t>
  </si>
  <si>
    <t>Frequency</t>
  </si>
  <si>
    <t>Last_Order_Date</t>
  </si>
  <si>
    <t>Recency</t>
  </si>
  <si>
    <t>R_Score</t>
  </si>
  <si>
    <t>F_Score</t>
  </si>
  <si>
    <t>M_Score</t>
  </si>
  <si>
    <t>RFM_Score</t>
  </si>
  <si>
    <t>Segment</t>
  </si>
  <si>
    <t>Total Revenue</t>
  </si>
  <si>
    <t>Total Customers</t>
  </si>
  <si>
    <t>Avg Revenue per Customer</t>
  </si>
  <si>
    <t>High Value Customers</t>
  </si>
  <si>
    <t>Row Labels</t>
  </si>
  <si>
    <t>High Value</t>
  </si>
  <si>
    <t>Low Engagement</t>
  </si>
  <si>
    <t>Loyal</t>
  </si>
  <si>
    <t>Regular</t>
  </si>
  <si>
    <t>Grand Total</t>
  </si>
  <si>
    <t>Assumption Date</t>
  </si>
  <si>
    <t>Sum of Total_Revenue</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</si>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</sst>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4" fontId="0" fillId="0" borderId="0" xfId="0" applyNumberFormat="1"/>
    <xf numFmtId="14" fontId="1"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xf>
    <xf numFmtId="14" fontId="0" fillId="0" borderId="0" xfId="0" applyNumberFormat="1" applyAlignment="1">
      <alignment horizontal="center"/>
    </xf>
    <xf numFmtId="0" fontId="0" fillId="2" borderId="0" xfId="0" applyFill="1"/>
    <xf numFmtId="0" fontId="0" fillId="2" borderId="0" xfId="0" applyFill="1" applyAlignment="1">
      <alignment horizontal="center"/>
    </xf>
    <xf numFmtId="0" fontId="0" fillId="3" borderId="0" xfId="0" applyFill="1"/>
    <xf numFmtId="0" fontId="0" fillId="3" borderId="0" xfId="0" applyFill="1" applyAlignment="1">
      <alignment horizontal="center"/>
    </xf>
    <xf numFmtId="0" fontId="0" fillId="4" borderId="0" xfId="0" applyFill="1"/>
    <xf numFmtId="0" fontId="0" fillId="4" borderId="0" xfId="0" applyFill="1" applyAlignment="1">
      <alignment horizontal="center"/>
    </xf>
    <xf numFmtId="0" fontId="0" fillId="4"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font>
        <color rgb="FF9C0006"/>
      </font>
      <fill>
        <patternFill>
          <bgColor rgb="FFFFC7CE"/>
        </patternFill>
      </fill>
    </dxf>
    <dxf>
      <font>
        <color rgb="FF006100"/>
      </font>
      <fill>
        <patternFill>
          <bgColor rgb="FFC6EFCE"/>
        </patternFill>
      </fill>
    </dxf>
    <dxf>
      <fill>
        <patternFill>
          <bgColor theme="4"/>
        </patternFill>
      </fill>
    </dxf>
    <dxf>
      <fill>
        <patternFill>
          <bgColor theme="8"/>
        </patternFill>
      </fill>
    </dxf>
    <dxf>
      <font>
        <color rgb="FF9C5700"/>
      </font>
      <fill>
        <patternFill>
          <bgColor rgb="FFFFEB9C"/>
        </patternFill>
      </fill>
    </dxf>
    <dxf>
      <font>
        <color rgb="FF9C5700"/>
      </font>
      <fill>
        <patternFill>
          <bgColor rgb="FFFFEB9C"/>
        </patternFill>
      </fill>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Invisible" pivot="0" table="0" count="0" xr9:uid="{6CDF7CD2-9C50-48BF-B981-4533DACB3F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Behavior Analysis.xlsx]Pivots!PivotTable3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2.8596961572832886E-2"/>
          <c:y val="0.15790828229804607"/>
          <c:w val="0.61327309957568976"/>
          <c:h val="0.79427384076990382"/>
        </c:manualLayout>
      </c:layout>
      <c:pieChart>
        <c:varyColors val="1"/>
        <c:ser>
          <c:idx val="0"/>
          <c:order val="0"/>
          <c:tx>
            <c:strRef>
              <c:f>Pivots!$B$3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0-4169-94E0-C733078089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0-4169-94E0-C733078089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70-4169-94E0-C733078089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70-4169-94E0-C7330780893C}"/>
              </c:ext>
            </c:extLst>
          </c:dPt>
          <c:cat>
            <c:strRef>
              <c:f>Pivots!$A$4:$A$8</c:f>
              <c:strCache>
                <c:ptCount val="4"/>
                <c:pt idx="0">
                  <c:v>High Value</c:v>
                </c:pt>
                <c:pt idx="1">
                  <c:v>Low Engagement</c:v>
                </c:pt>
                <c:pt idx="2">
                  <c:v>Loyal</c:v>
                </c:pt>
                <c:pt idx="3">
                  <c:v>Regular</c:v>
                </c:pt>
              </c:strCache>
            </c:strRef>
          </c:cat>
          <c:val>
            <c:numRef>
              <c:f>Pivots!$B$4:$B$8</c:f>
              <c:numCache>
                <c:formatCode>General</c:formatCode>
                <c:ptCount val="4"/>
                <c:pt idx="0">
                  <c:v>7830</c:v>
                </c:pt>
                <c:pt idx="1">
                  <c:v>750</c:v>
                </c:pt>
                <c:pt idx="2">
                  <c:v>3530</c:v>
                </c:pt>
                <c:pt idx="3">
                  <c:v>470</c:v>
                </c:pt>
              </c:numCache>
            </c:numRef>
          </c:val>
          <c:extLst>
            <c:ext xmlns:c16="http://schemas.microsoft.com/office/drawing/2014/chart" uri="{C3380CC4-5D6E-409C-BE32-E72D297353CC}">
              <c16:uniqueId val="{00000008-AA70-4169-94E0-C733078089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829544095191859"/>
          <c:y val="2.7197798191892671E-2"/>
          <c:w val="0.34383145806506099"/>
          <c:h val="0.4862500000000000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Behavior Analysis.xlsx]Pivots!PivotTable5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Pivots!$E$3</c:f>
              <c:strCache>
                <c:ptCount val="1"/>
                <c:pt idx="0">
                  <c:v>Total</c:v>
                </c:pt>
              </c:strCache>
            </c:strRef>
          </c:tx>
          <c:spPr>
            <a:solidFill>
              <a:schemeClr val="accent1"/>
            </a:solidFill>
            <a:ln>
              <a:noFill/>
            </a:ln>
            <a:effectLst/>
            <a:sp3d/>
          </c:spPr>
          <c:invertIfNegative val="0"/>
          <c:cat>
            <c:strRef>
              <c:f>Pivots!$D$4:$D$8</c:f>
              <c:strCache>
                <c:ptCount val="4"/>
                <c:pt idx="0">
                  <c:v>High Value</c:v>
                </c:pt>
                <c:pt idx="1">
                  <c:v>Low Engagement</c:v>
                </c:pt>
                <c:pt idx="2">
                  <c:v>Loyal</c:v>
                </c:pt>
                <c:pt idx="3">
                  <c:v>Regular</c:v>
                </c:pt>
              </c:strCache>
            </c:strRef>
          </c:cat>
          <c:val>
            <c:numRef>
              <c:f>Pivots!$E$4:$E$8</c:f>
              <c:numCache>
                <c:formatCode>General</c:formatCode>
                <c:ptCount val="4"/>
                <c:pt idx="0">
                  <c:v>3</c:v>
                </c:pt>
                <c:pt idx="1">
                  <c:v>3</c:v>
                </c:pt>
                <c:pt idx="2">
                  <c:v>3</c:v>
                </c:pt>
                <c:pt idx="3">
                  <c:v>1</c:v>
                </c:pt>
              </c:numCache>
            </c:numRef>
          </c:val>
          <c:extLst>
            <c:ext xmlns:c16="http://schemas.microsoft.com/office/drawing/2014/chart" uri="{C3380CC4-5D6E-409C-BE32-E72D297353CC}">
              <c16:uniqueId val="{00000000-9D86-437F-9743-8C7AB6570011}"/>
            </c:ext>
          </c:extLst>
        </c:ser>
        <c:dLbls>
          <c:showLegendKey val="0"/>
          <c:showVal val="0"/>
          <c:showCatName val="0"/>
          <c:showSerName val="0"/>
          <c:showPercent val="0"/>
          <c:showBubbleSize val="0"/>
        </c:dLbls>
        <c:gapWidth val="150"/>
        <c:shape val="box"/>
        <c:axId val="888522959"/>
        <c:axId val="888517199"/>
        <c:axId val="0"/>
      </c:bar3DChart>
      <c:catAx>
        <c:axId val="88852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517199"/>
        <c:crosses val="autoZero"/>
        <c:auto val="1"/>
        <c:lblAlgn val="ctr"/>
        <c:lblOffset val="100"/>
        <c:noMultiLvlLbl val="0"/>
      </c:catAx>
      <c:valAx>
        <c:axId val="8885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52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7</xdr:row>
      <xdr:rowOff>28575</xdr:rowOff>
    </xdr:from>
    <xdr:to>
      <xdr:col>5</xdr:col>
      <xdr:colOff>676275</xdr:colOff>
      <xdr:row>21</xdr:row>
      <xdr:rowOff>104775</xdr:rowOff>
    </xdr:to>
    <xdr:graphicFrame macro="">
      <xdr:nvGraphicFramePr>
        <xdr:cNvPr id="2" name="Chart 1">
          <a:extLst>
            <a:ext uri="{FF2B5EF4-FFF2-40B4-BE49-F238E27FC236}">
              <a16:creationId xmlns:a16="http://schemas.microsoft.com/office/drawing/2014/main" id="{89E98162-F502-49AF-93BD-16386A225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0</xdr:rowOff>
    </xdr:from>
    <xdr:to>
      <xdr:col>13</xdr:col>
      <xdr:colOff>304800</xdr:colOff>
      <xdr:row>21</xdr:row>
      <xdr:rowOff>76200</xdr:rowOff>
    </xdr:to>
    <xdr:graphicFrame macro="">
      <xdr:nvGraphicFramePr>
        <xdr:cNvPr id="3" name="Chart 2">
          <a:extLst>
            <a:ext uri="{FF2B5EF4-FFF2-40B4-BE49-F238E27FC236}">
              <a16:creationId xmlns:a16="http://schemas.microsoft.com/office/drawing/2014/main" id="{179A0B5D-707F-43D8-99A6-539137E9F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447675</xdr:colOff>
      <xdr:row>6</xdr:row>
      <xdr:rowOff>161925</xdr:rowOff>
    </xdr:from>
    <xdr:to>
      <xdr:col>16</xdr:col>
      <xdr:colOff>323850</xdr:colOff>
      <xdr:row>20</xdr:row>
      <xdr:rowOff>19050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6C9E1BA7-87EE-47B0-89E6-EE98639C101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667750" y="1304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3</xdr:row>
      <xdr:rowOff>123825</xdr:rowOff>
    </xdr:from>
    <xdr:to>
      <xdr:col>19</xdr:col>
      <xdr:colOff>400050</xdr:colOff>
      <xdr:row>20</xdr:row>
      <xdr:rowOff>66676</xdr:rowOff>
    </xdr:to>
    <mc:AlternateContent xmlns:mc="http://schemas.openxmlformats.org/markup-compatibility/2006">
      <mc:Choice xmlns:a14="http://schemas.microsoft.com/office/drawing/2010/main" Requires="a14">
        <xdr:graphicFrame macro="">
          <xdr:nvGraphicFramePr>
            <xdr:cNvPr id="5" name="Customer_Name">
              <a:extLst>
                <a:ext uri="{FF2B5EF4-FFF2-40B4-BE49-F238E27FC236}">
                  <a16:creationId xmlns:a16="http://schemas.microsoft.com/office/drawing/2014/main" id="{A80A60A7-74D6-4A9B-B787-D2D7EF1EBA0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10572750" y="695325"/>
              <a:ext cx="1828800" cy="3181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harma" refreshedDate="46149.629384259257" createdVersion="8" refreshedVersion="8" minRefreshableVersion="3" recordCount="10" xr:uid="{BF7D6CFD-13DA-4309-B929-BDCD0F502EFC}">
  <cacheSource type="worksheet">
    <worksheetSource ref="A1:L11" sheet="Customer_Summary"/>
  </cacheSource>
  <cacheFields count="12">
    <cacheField name="Customer_ID" numFmtId="0">
      <sharedItems/>
    </cacheField>
    <cacheField name="Customer_Name" numFmtId="0">
      <sharedItems count="10">
        <s v="Amit"/>
        <s v="Rahul"/>
        <s v="Priya"/>
        <s v="Neha"/>
        <s v="Karan"/>
        <s v="Meera"/>
        <s v="Ravi"/>
        <s v="Sonia"/>
        <s v="Vikram"/>
        <s v="Pooja"/>
      </sharedItems>
    </cacheField>
    <cacheField name="Total_Revenue" numFmtId="0">
      <sharedItems containsSemiMixedTypes="0" containsString="0" containsNumber="1" containsInteger="1" minValue="130" maxValue="3230"/>
    </cacheField>
    <cacheField name="Frequency" numFmtId="0">
      <sharedItems containsSemiMixedTypes="0" containsString="0" containsNumber="1" containsInteger="1" minValue="1" maxValue="6"/>
    </cacheField>
    <cacheField name="Last_Order_Date" numFmtId="14">
      <sharedItems containsSemiMixedTypes="0" containsNonDate="0" containsDate="1" containsString="0" minDate="2024-03-10T00:00:00" maxDate="2024-04-26T00:00:00"/>
    </cacheField>
    <cacheField name="Recency" numFmtId="0">
      <sharedItems containsSemiMixedTypes="0" containsString="0" containsNumber="1" containsInteger="1" minValue="5" maxValue="51"/>
    </cacheField>
    <cacheField name="R_Score" numFmtId="0">
      <sharedItems containsSemiMixedTypes="0" containsString="0" containsNumber="1" containsInteger="1" minValue="4" maxValue="5"/>
    </cacheField>
    <cacheField name="F_Score" numFmtId="0">
      <sharedItems containsSemiMixedTypes="0" containsString="0" containsNumber="1" containsInteger="1" minValue="1" maxValue="5"/>
    </cacheField>
    <cacheField name="M_Score" numFmtId="0">
      <sharedItems containsSemiMixedTypes="0" containsString="0" containsNumber="1" containsInteger="1" minValue="1" maxValue="5"/>
    </cacheField>
    <cacheField name="RFM_Score" numFmtId="0">
      <sharedItems/>
    </cacheField>
    <cacheField name="Segment" numFmtId="0">
      <sharedItems count="4">
        <s v="High Value"/>
        <s v="Loyal"/>
        <s v="Regular"/>
        <s v="Low Engagement"/>
      </sharedItems>
    </cacheField>
    <cacheField name="Assumption Date" numFmtId="0">
      <sharedItems containsNonDate="0" containsDate="1" containsString="0" containsBlank="1" minDate="2024-04-30T00:00:00" maxDate="2024-05-01T00:00:00"/>
    </cacheField>
  </cacheFields>
  <extLst>
    <ext xmlns:x14="http://schemas.microsoft.com/office/spreadsheetml/2009/9/main" uri="{725AE2AE-9491-48be-B2B4-4EB974FC3084}">
      <x14:pivotCacheDefinition pivotCacheId="152703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C001"/>
    <x v="0"/>
    <n v="3230"/>
    <n v="6"/>
    <d v="2024-04-20T00:00:00"/>
    <n v="10"/>
    <n v="5"/>
    <n v="5"/>
    <n v="5"/>
    <s v="555"/>
    <x v="0"/>
    <d v="2024-04-30T00:00:00"/>
  </r>
  <r>
    <s v="C002"/>
    <x v="1"/>
    <n v="2490"/>
    <n v="5"/>
    <d v="2024-04-25T00:00:00"/>
    <n v="5"/>
    <n v="5"/>
    <n v="5"/>
    <n v="4"/>
    <s v="554"/>
    <x v="0"/>
    <m/>
  </r>
  <r>
    <s v="C003"/>
    <x v="2"/>
    <n v="2110"/>
    <n v="5"/>
    <d v="2024-04-15T00:00:00"/>
    <n v="15"/>
    <n v="5"/>
    <n v="5"/>
    <n v="4"/>
    <s v="554"/>
    <x v="0"/>
    <m/>
  </r>
  <r>
    <s v="C004"/>
    <x v="3"/>
    <n v="720"/>
    <n v="3"/>
    <d v="2024-04-04T00:00:00"/>
    <n v="26"/>
    <n v="5"/>
    <n v="3"/>
    <n v="2"/>
    <s v="532"/>
    <x v="1"/>
    <m/>
  </r>
  <r>
    <s v="C005"/>
    <x v="4"/>
    <n v="430"/>
    <n v="3"/>
    <d v="2024-04-18T00:00:00"/>
    <n v="12"/>
    <n v="5"/>
    <n v="3"/>
    <n v="1"/>
    <s v="531"/>
    <x v="1"/>
    <m/>
  </r>
  <r>
    <s v="C006"/>
    <x v="5"/>
    <n v="2380"/>
    <n v="3"/>
    <d v="2024-04-12T00:00:00"/>
    <n v="18"/>
    <n v="5"/>
    <n v="3"/>
    <n v="4"/>
    <s v="534"/>
    <x v="1"/>
    <m/>
  </r>
  <r>
    <s v="C007"/>
    <x v="6"/>
    <n v="470"/>
    <n v="2"/>
    <d v="2024-04-08T00:00:00"/>
    <n v="22"/>
    <n v="5"/>
    <n v="2"/>
    <n v="1"/>
    <s v="521"/>
    <x v="2"/>
    <m/>
  </r>
  <r>
    <s v="C008"/>
    <x v="7"/>
    <n v="450"/>
    <n v="1"/>
    <d v="2024-03-10T00:00:00"/>
    <n v="51"/>
    <n v="4"/>
    <n v="1"/>
    <n v="1"/>
    <s v="411"/>
    <x v="3"/>
    <m/>
  </r>
  <r>
    <s v="C009"/>
    <x v="8"/>
    <n v="170"/>
    <n v="1"/>
    <d v="2024-03-12T00:00:00"/>
    <n v="49"/>
    <n v="4"/>
    <n v="1"/>
    <n v="1"/>
    <s v="411"/>
    <x v="3"/>
    <m/>
  </r>
  <r>
    <s v="C010"/>
    <x v="9"/>
    <n v="130"/>
    <n v="1"/>
    <d v="2024-03-22T00:00:00"/>
    <n v="39"/>
    <n v="4"/>
    <n v="1"/>
    <n v="1"/>
    <s v="411"/>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DDAA0-3CD8-448C-B6DC-B90325F5B47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8" firstHeaderRow="1" firstDataRow="1" firstDataCol="1"/>
  <pivotFields count="12">
    <pivotField dataField="1" showAll="0"/>
    <pivotField showAll="0">
      <items count="11">
        <item x="0"/>
        <item x="4"/>
        <item x="5"/>
        <item x="3"/>
        <item x="9"/>
        <item x="2"/>
        <item x="1"/>
        <item x="6"/>
        <item x="7"/>
        <item x="8"/>
        <item t="default"/>
      </items>
    </pivotField>
    <pivotField showAll="0"/>
    <pivotField showAll="0"/>
    <pivotField numFmtId="14" showAll="0"/>
    <pivotField showAll="0"/>
    <pivotField showAll="0"/>
    <pivotField showAll="0"/>
    <pivotField showAll="0"/>
    <pivotField showAll="0"/>
    <pivotField axis="axisRow" showAll="0">
      <items count="5">
        <item x="0"/>
        <item x="3"/>
        <item x="1"/>
        <item x="2"/>
        <item t="default"/>
      </items>
    </pivotField>
    <pivotField showAll="0"/>
  </pivotFields>
  <rowFields count="1">
    <field x="10"/>
  </rowFields>
  <rowItems count="5">
    <i>
      <x/>
    </i>
    <i>
      <x v="1"/>
    </i>
    <i>
      <x v="2"/>
    </i>
    <i>
      <x v="3"/>
    </i>
    <i t="grand">
      <x/>
    </i>
  </rowItems>
  <colItems count="1">
    <i/>
  </colItems>
  <dataFields count="1">
    <dataField name="Count of Customer_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01154F-A3D5-46E5-9235-9884F13B287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items count="11">
        <item x="0"/>
        <item x="4"/>
        <item x="5"/>
        <item x="3"/>
        <item x="9"/>
        <item x="2"/>
        <item x="1"/>
        <item x="6"/>
        <item x="7"/>
        <item x="8"/>
        <item t="default"/>
      </items>
    </pivotField>
    <pivotField dataField="1" showAll="0"/>
    <pivotField showAll="0"/>
    <pivotField numFmtId="14" showAll="0"/>
    <pivotField showAll="0"/>
    <pivotField showAll="0"/>
    <pivotField showAll="0"/>
    <pivotField showAll="0"/>
    <pivotField showAll="0"/>
    <pivotField axis="axisRow" showAll="0">
      <items count="5">
        <item x="0"/>
        <item x="3"/>
        <item x="1"/>
        <item x="2"/>
        <item t="default"/>
      </items>
    </pivotField>
    <pivotField showAll="0"/>
  </pivotFields>
  <rowFields count="1">
    <field x="10"/>
  </rowFields>
  <rowItems count="5">
    <i>
      <x/>
    </i>
    <i>
      <x v="1"/>
    </i>
    <i>
      <x v="2"/>
    </i>
    <i>
      <x v="3"/>
    </i>
    <i t="grand">
      <x/>
    </i>
  </rowItems>
  <colItems count="1">
    <i/>
  </colItems>
  <dataFields count="1">
    <dataField name="Sum of Total_Revenue" fld="2"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46DDC5-B187-422C-BC6B-F1E1BF05A149}" sourceName="Segment">
  <pivotTables>
    <pivotTable tabId="6" name="PivotTable3"/>
    <pivotTable tabId="6" name="PivotTable5"/>
  </pivotTables>
  <data>
    <tabular pivotCacheId="15270324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8A77113E-181B-4423-BC3E-833A5A503FC3}" sourceName="Customer_Name">
  <pivotTables>
    <pivotTable tabId="6" name="PivotTable3"/>
    <pivotTable tabId="6" name="PivotTable5"/>
  </pivotTables>
  <data>
    <tabular pivotCacheId="152703245">
      <items count="10">
        <i x="0" s="1"/>
        <i x="4" s="1"/>
        <i x="5" s="1"/>
        <i x="3" s="1"/>
        <i x="9" s="1"/>
        <i x="2" s="1"/>
        <i x="1"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36D1634-CC35-479E-92DB-7DB69824E398}" cache="Slicer_Segment" caption="Segment" rowHeight="241300"/>
  <slicer name="Customer_Name" xr10:uid="{6F7C22F8-D947-43F9-8EC7-CC11327B830D}" cache="Slicer_Customer_Name" caption="Customer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F0B37-D6AC-4E78-96D7-48660DF88A6F}" name="Sales_Data" displayName="Sales_Data" ref="A1:E31" totalsRowShown="0" headerRowDxfId="7" dataDxfId="6">
  <autoFilter ref="A1:E31" xr:uid="{AE5F0B37-D6AC-4E78-96D7-48660DF88A6F}"/>
  <tableColumns count="5">
    <tableColumn id="1" xr3:uid="{98FE89C4-BAFF-49C4-BAEC-F14F3728FBD8}" name="Order_ID" dataDxfId="12"/>
    <tableColumn id="2" xr3:uid="{58D0D414-600A-403E-AE10-00BC2F2E12FA}" name="Customer_ID" dataDxfId="11"/>
    <tableColumn id="3" xr3:uid="{5A50D6E9-45B3-4C0D-92FB-CDC6450A6B7C}" name="Customer_Name" dataDxfId="10"/>
    <tableColumn id="4" xr3:uid="{7D8EC01E-AD10-45BD-B1A9-B1E594CFB51D}" name="Order_Date" dataDxfId="9"/>
    <tableColumn id="5" xr3:uid="{83ADF4AC-718A-43CF-A444-5B3B10E627D3}" name="Revenu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4AC8-D289-4651-91C6-723DDFFA3813}">
  <dimension ref="A1:E31"/>
  <sheetViews>
    <sheetView workbookViewId="0">
      <selection activeCell="C30" sqref="C30"/>
    </sheetView>
  </sheetViews>
  <sheetFormatPr defaultRowHeight="15" x14ac:dyDescent="0.25"/>
  <cols>
    <col min="1" max="1" width="14.5703125" style="6" customWidth="1"/>
    <col min="2" max="2" width="18.140625" style="6" customWidth="1"/>
    <col min="3" max="3" width="22.5703125" style="6" customWidth="1"/>
    <col min="4" max="4" width="17.28515625" style="7" customWidth="1"/>
    <col min="5" max="5" width="16.5703125" style="6" customWidth="1"/>
  </cols>
  <sheetData>
    <row r="1" spans="1:5" x14ac:dyDescent="0.25">
      <c r="A1" s="2" t="s">
        <v>0</v>
      </c>
      <c r="B1" s="2" t="s">
        <v>1</v>
      </c>
      <c r="C1" s="2" t="s">
        <v>2</v>
      </c>
      <c r="D1" s="4" t="s">
        <v>3</v>
      </c>
      <c r="E1" s="2" t="s">
        <v>4</v>
      </c>
    </row>
    <row r="2" spans="1:5" x14ac:dyDescent="0.25">
      <c r="A2" s="1">
        <v>1001</v>
      </c>
      <c r="B2" s="1" t="s">
        <v>5</v>
      </c>
      <c r="C2" s="1" t="s">
        <v>6</v>
      </c>
      <c r="D2" s="5">
        <v>45293</v>
      </c>
      <c r="E2" s="1">
        <v>120</v>
      </c>
    </row>
    <row r="3" spans="1:5" x14ac:dyDescent="0.25">
      <c r="A3" s="1">
        <v>1002</v>
      </c>
      <c r="B3" s="1" t="s">
        <v>7</v>
      </c>
      <c r="C3" s="1" t="s">
        <v>8</v>
      </c>
      <c r="D3" s="5">
        <v>45296</v>
      </c>
      <c r="E3" s="1">
        <v>340</v>
      </c>
    </row>
    <row r="4" spans="1:5" x14ac:dyDescent="0.25">
      <c r="A4" s="1">
        <v>1003</v>
      </c>
      <c r="B4" s="1" t="s">
        <v>9</v>
      </c>
      <c r="C4" s="1" t="s">
        <v>10</v>
      </c>
      <c r="D4" s="5">
        <v>45297</v>
      </c>
      <c r="E4" s="1">
        <v>220</v>
      </c>
    </row>
    <row r="5" spans="1:5" x14ac:dyDescent="0.25">
      <c r="A5" s="1">
        <v>1004</v>
      </c>
      <c r="B5" s="1" t="s">
        <v>5</v>
      </c>
      <c r="C5" s="1" t="s">
        <v>6</v>
      </c>
      <c r="D5" s="5">
        <v>45303</v>
      </c>
      <c r="E5" s="1">
        <v>560</v>
      </c>
    </row>
    <row r="6" spans="1:5" x14ac:dyDescent="0.25">
      <c r="A6" s="1">
        <v>1005</v>
      </c>
      <c r="B6" s="1" t="s">
        <v>11</v>
      </c>
      <c r="C6" s="1" t="s">
        <v>12</v>
      </c>
      <c r="D6" s="5">
        <v>45306</v>
      </c>
      <c r="E6" s="1">
        <v>180</v>
      </c>
    </row>
    <row r="7" spans="1:5" x14ac:dyDescent="0.25">
      <c r="A7" s="1">
        <v>1006</v>
      </c>
      <c r="B7" s="1" t="s">
        <v>7</v>
      </c>
      <c r="C7" s="1" t="s">
        <v>8</v>
      </c>
      <c r="D7" s="5">
        <v>45313</v>
      </c>
      <c r="E7" s="1">
        <v>410</v>
      </c>
    </row>
    <row r="8" spans="1:5" x14ac:dyDescent="0.25">
      <c r="A8" s="1">
        <v>1007</v>
      </c>
      <c r="B8" s="1" t="s">
        <v>13</v>
      </c>
      <c r="C8" s="1" t="s">
        <v>14</v>
      </c>
      <c r="D8" s="5">
        <v>45316</v>
      </c>
      <c r="E8" s="1">
        <v>90</v>
      </c>
    </row>
    <row r="9" spans="1:5" x14ac:dyDescent="0.25">
      <c r="A9" s="1">
        <v>1008</v>
      </c>
      <c r="B9" s="1" t="s">
        <v>9</v>
      </c>
      <c r="C9" s="1" t="s">
        <v>10</v>
      </c>
      <c r="D9" s="5">
        <v>45324</v>
      </c>
      <c r="E9" s="1">
        <v>620</v>
      </c>
    </row>
    <row r="10" spans="1:5" x14ac:dyDescent="0.25">
      <c r="A10" s="1">
        <v>1009</v>
      </c>
      <c r="B10" s="1" t="s">
        <v>5</v>
      </c>
      <c r="C10" s="1" t="s">
        <v>6</v>
      </c>
      <c r="D10" s="5">
        <v>45327</v>
      </c>
      <c r="E10" s="1">
        <v>250</v>
      </c>
    </row>
    <row r="11" spans="1:5" x14ac:dyDescent="0.25">
      <c r="A11" s="1">
        <v>1010</v>
      </c>
      <c r="B11" s="1" t="s">
        <v>15</v>
      </c>
      <c r="C11" s="1" t="s">
        <v>16</v>
      </c>
      <c r="D11" s="5">
        <v>45330</v>
      </c>
      <c r="E11" s="1">
        <v>700</v>
      </c>
    </row>
    <row r="12" spans="1:5" x14ac:dyDescent="0.25">
      <c r="A12" s="1">
        <v>1011</v>
      </c>
      <c r="B12" s="1" t="s">
        <v>17</v>
      </c>
      <c r="C12" s="1" t="s">
        <v>18</v>
      </c>
      <c r="D12" s="5">
        <v>45337</v>
      </c>
      <c r="E12" s="1">
        <v>120</v>
      </c>
    </row>
    <row r="13" spans="1:5" x14ac:dyDescent="0.25">
      <c r="A13" s="1">
        <v>1012</v>
      </c>
      <c r="B13" s="1" t="s">
        <v>11</v>
      </c>
      <c r="C13" s="1" t="s">
        <v>12</v>
      </c>
      <c r="D13" s="5">
        <v>45342</v>
      </c>
      <c r="E13" s="1">
        <v>260</v>
      </c>
    </row>
    <row r="14" spans="1:5" x14ac:dyDescent="0.25">
      <c r="A14" s="1">
        <v>1013</v>
      </c>
      <c r="B14" s="1" t="s">
        <v>7</v>
      </c>
      <c r="C14" s="1" t="s">
        <v>8</v>
      </c>
      <c r="D14" s="5">
        <v>45352</v>
      </c>
      <c r="E14" s="1">
        <v>540</v>
      </c>
    </row>
    <row r="15" spans="1:5" x14ac:dyDescent="0.25">
      <c r="A15" s="1">
        <v>1014</v>
      </c>
      <c r="B15" s="1" t="s">
        <v>9</v>
      </c>
      <c r="C15" s="1" t="s">
        <v>10</v>
      </c>
      <c r="D15" s="5">
        <v>45354</v>
      </c>
      <c r="E15" s="1">
        <v>310</v>
      </c>
    </row>
    <row r="16" spans="1:5" x14ac:dyDescent="0.25">
      <c r="A16" s="1">
        <v>1015</v>
      </c>
      <c r="B16" s="1" t="s">
        <v>13</v>
      </c>
      <c r="C16" s="1" t="s">
        <v>14</v>
      </c>
      <c r="D16" s="5">
        <v>45356</v>
      </c>
      <c r="E16" s="1">
        <v>140</v>
      </c>
    </row>
    <row r="17" spans="1:5" x14ac:dyDescent="0.25">
      <c r="A17" s="1">
        <v>1016</v>
      </c>
      <c r="B17" s="1" t="s">
        <v>5</v>
      </c>
      <c r="C17" s="1" t="s">
        <v>6</v>
      </c>
      <c r="D17" s="5">
        <v>45359</v>
      </c>
      <c r="E17" s="1">
        <v>890</v>
      </c>
    </row>
    <row r="18" spans="1:5" x14ac:dyDescent="0.25">
      <c r="A18" s="1">
        <v>1017</v>
      </c>
      <c r="B18" s="1" t="s">
        <v>19</v>
      </c>
      <c r="C18" s="1" t="s">
        <v>20</v>
      </c>
      <c r="D18" s="5">
        <v>45361</v>
      </c>
      <c r="E18" s="1">
        <v>450</v>
      </c>
    </row>
    <row r="19" spans="1:5" x14ac:dyDescent="0.25">
      <c r="A19" s="1">
        <v>1018</v>
      </c>
      <c r="B19" s="1" t="s">
        <v>21</v>
      </c>
      <c r="C19" s="1" t="s">
        <v>22</v>
      </c>
      <c r="D19" s="5">
        <v>45363</v>
      </c>
      <c r="E19" s="1">
        <v>170</v>
      </c>
    </row>
    <row r="20" spans="1:5" x14ac:dyDescent="0.25">
      <c r="A20" s="1">
        <v>1019</v>
      </c>
      <c r="B20" s="1" t="s">
        <v>15</v>
      </c>
      <c r="C20" s="1" t="s">
        <v>16</v>
      </c>
      <c r="D20" s="5">
        <v>45369</v>
      </c>
      <c r="E20" s="1">
        <v>760</v>
      </c>
    </row>
    <row r="21" spans="1:5" x14ac:dyDescent="0.25">
      <c r="A21" s="1">
        <v>1020</v>
      </c>
      <c r="B21" s="1" t="s">
        <v>23</v>
      </c>
      <c r="C21" s="1" t="s">
        <v>24</v>
      </c>
      <c r="D21" s="5">
        <v>45373</v>
      </c>
      <c r="E21" s="1">
        <v>130</v>
      </c>
    </row>
    <row r="22" spans="1:5" x14ac:dyDescent="0.25">
      <c r="A22" s="1">
        <v>1021</v>
      </c>
      <c r="B22" s="1" t="s">
        <v>9</v>
      </c>
      <c r="C22" s="1" t="s">
        <v>10</v>
      </c>
      <c r="D22" s="5">
        <v>45376</v>
      </c>
      <c r="E22" s="1">
        <v>510</v>
      </c>
    </row>
    <row r="23" spans="1:5" x14ac:dyDescent="0.25">
      <c r="A23" s="1">
        <v>1022</v>
      </c>
      <c r="B23" s="1" t="s">
        <v>7</v>
      </c>
      <c r="C23" s="1" t="s">
        <v>8</v>
      </c>
      <c r="D23" s="5">
        <v>45379</v>
      </c>
      <c r="E23" s="1">
        <v>620</v>
      </c>
    </row>
    <row r="24" spans="1:5" x14ac:dyDescent="0.25">
      <c r="A24" s="1">
        <v>1023</v>
      </c>
      <c r="B24" s="1" t="s">
        <v>5</v>
      </c>
      <c r="C24" s="1" t="s">
        <v>6</v>
      </c>
      <c r="D24" s="5">
        <v>45384</v>
      </c>
      <c r="E24" s="1">
        <v>410</v>
      </c>
    </row>
    <row r="25" spans="1:5" x14ac:dyDescent="0.25">
      <c r="A25" s="1">
        <v>1024</v>
      </c>
      <c r="B25" s="1" t="s">
        <v>11</v>
      </c>
      <c r="C25" s="1" t="s">
        <v>12</v>
      </c>
      <c r="D25" s="5">
        <v>45386</v>
      </c>
      <c r="E25" s="1">
        <v>280</v>
      </c>
    </row>
    <row r="26" spans="1:5" x14ac:dyDescent="0.25">
      <c r="A26" s="1">
        <v>1025</v>
      </c>
      <c r="B26" s="1" t="s">
        <v>17</v>
      </c>
      <c r="C26" s="1" t="s">
        <v>18</v>
      </c>
      <c r="D26" s="5">
        <v>45390</v>
      </c>
      <c r="E26" s="1">
        <v>350</v>
      </c>
    </row>
    <row r="27" spans="1:5" x14ac:dyDescent="0.25">
      <c r="A27" s="1">
        <v>1026</v>
      </c>
      <c r="B27" s="1" t="s">
        <v>15</v>
      </c>
      <c r="C27" s="1" t="s">
        <v>16</v>
      </c>
      <c r="D27" s="5">
        <v>45394</v>
      </c>
      <c r="E27" s="1">
        <v>920</v>
      </c>
    </row>
    <row r="28" spans="1:5" x14ac:dyDescent="0.25">
      <c r="A28" s="1">
        <v>1027</v>
      </c>
      <c r="B28" s="1" t="s">
        <v>9</v>
      </c>
      <c r="C28" s="1" t="s">
        <v>10</v>
      </c>
      <c r="D28" s="5">
        <v>45397</v>
      </c>
      <c r="E28" s="1">
        <v>450</v>
      </c>
    </row>
    <row r="29" spans="1:5" x14ac:dyDescent="0.25">
      <c r="A29" s="1">
        <v>1028</v>
      </c>
      <c r="B29" s="1" t="s">
        <v>13</v>
      </c>
      <c r="C29" s="1" t="s">
        <v>14</v>
      </c>
      <c r="D29" s="5">
        <v>45400</v>
      </c>
      <c r="E29" s="1">
        <v>200</v>
      </c>
    </row>
    <row r="30" spans="1:5" x14ac:dyDescent="0.25">
      <c r="A30" s="1">
        <v>1029</v>
      </c>
      <c r="B30" s="1" t="s">
        <v>5</v>
      </c>
      <c r="C30" s="1" t="s">
        <v>6</v>
      </c>
      <c r="D30" s="5">
        <v>45402</v>
      </c>
      <c r="E30" s="1">
        <v>1000</v>
      </c>
    </row>
    <row r="31" spans="1:5" x14ac:dyDescent="0.25">
      <c r="A31" s="1">
        <v>1030</v>
      </c>
      <c r="B31" s="1" t="s">
        <v>7</v>
      </c>
      <c r="C31" s="1" t="s">
        <v>8</v>
      </c>
      <c r="D31" s="5">
        <v>45407</v>
      </c>
      <c r="E31" s="1">
        <v>580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6F3A-9E41-4B7F-B269-237B0FA24B9C}">
  <dimension ref="A3:E8"/>
  <sheetViews>
    <sheetView topLeftCell="A3" workbookViewId="0">
      <selection activeCell="I14" sqref="I14"/>
    </sheetView>
  </sheetViews>
  <sheetFormatPr defaultRowHeight="15" x14ac:dyDescent="0.25"/>
  <cols>
    <col min="1" max="1" width="16.140625" bestFit="1" customWidth="1"/>
    <col min="2" max="2" width="21.140625" bestFit="1" customWidth="1"/>
    <col min="4" max="4" width="16.140625" bestFit="1" customWidth="1"/>
    <col min="5" max="5" width="20.7109375" bestFit="1" customWidth="1"/>
  </cols>
  <sheetData>
    <row r="3" spans="1:5" x14ac:dyDescent="0.25">
      <c r="A3" s="15" t="s">
        <v>38</v>
      </c>
      <c r="B3" t="s">
        <v>45</v>
      </c>
      <c r="D3" s="15" t="s">
        <v>38</v>
      </c>
      <c r="E3" t="s">
        <v>46</v>
      </c>
    </row>
    <row r="4" spans="1:5" x14ac:dyDescent="0.25">
      <c r="A4" s="16" t="s">
        <v>39</v>
      </c>
      <c r="B4" s="17">
        <v>7830</v>
      </c>
      <c r="D4" s="16" t="s">
        <v>39</v>
      </c>
      <c r="E4" s="17">
        <v>3</v>
      </c>
    </row>
    <row r="5" spans="1:5" x14ac:dyDescent="0.25">
      <c r="A5" s="16" t="s">
        <v>40</v>
      </c>
      <c r="B5" s="17">
        <v>750</v>
      </c>
      <c r="D5" s="16" t="s">
        <v>40</v>
      </c>
      <c r="E5" s="17">
        <v>3</v>
      </c>
    </row>
    <row r="6" spans="1:5" x14ac:dyDescent="0.25">
      <c r="A6" s="16" t="s">
        <v>41</v>
      </c>
      <c r="B6" s="17">
        <v>3530</v>
      </c>
      <c r="D6" s="16" t="s">
        <v>41</v>
      </c>
      <c r="E6" s="17">
        <v>3</v>
      </c>
    </row>
    <row r="7" spans="1:5" x14ac:dyDescent="0.25">
      <c r="A7" s="16" t="s">
        <v>42</v>
      </c>
      <c r="B7" s="17">
        <v>470</v>
      </c>
      <c r="D7" s="16" t="s">
        <v>42</v>
      </c>
      <c r="E7" s="17">
        <v>1</v>
      </c>
    </row>
    <row r="8" spans="1:5" x14ac:dyDescent="0.25">
      <c r="A8" s="16" t="s">
        <v>43</v>
      </c>
      <c r="B8" s="17">
        <v>12580</v>
      </c>
      <c r="D8" s="16" t="s">
        <v>43</v>
      </c>
      <c r="E8" s="17">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F8FC-8BCC-4259-B38B-14557F7F4570}">
  <dimension ref="A1:L11"/>
  <sheetViews>
    <sheetView workbookViewId="0">
      <selection activeCell="F16" sqref="F16"/>
    </sheetView>
  </sheetViews>
  <sheetFormatPr defaultRowHeight="15" x14ac:dyDescent="0.25"/>
  <cols>
    <col min="1" max="1" width="12.7109375" customWidth="1"/>
    <col min="2" max="2" width="16.5703125" customWidth="1"/>
    <col min="3" max="3" width="15.42578125" customWidth="1"/>
    <col min="4" max="4" width="13.42578125" customWidth="1"/>
    <col min="5" max="5" width="16" style="3" customWidth="1"/>
    <col min="6" max="6" width="11.42578125" customWidth="1"/>
    <col min="10" max="10" width="11.7109375" customWidth="1"/>
    <col min="11" max="11" width="18.28515625" customWidth="1"/>
    <col min="12" max="12" width="19.42578125" customWidth="1"/>
  </cols>
  <sheetData>
    <row r="1" spans="1:12" ht="30" x14ac:dyDescent="0.25">
      <c r="A1" s="2" t="s">
        <v>1</v>
      </c>
      <c r="B1" s="2" t="s">
        <v>2</v>
      </c>
      <c r="C1" s="2" t="s">
        <v>25</v>
      </c>
      <c r="D1" s="2" t="s">
        <v>26</v>
      </c>
      <c r="E1" s="4" t="s">
        <v>27</v>
      </c>
      <c r="F1" s="2" t="s">
        <v>28</v>
      </c>
      <c r="G1" s="2" t="s">
        <v>29</v>
      </c>
      <c r="H1" s="2" t="s">
        <v>30</v>
      </c>
      <c r="I1" s="2" t="s">
        <v>31</v>
      </c>
      <c r="J1" s="2" t="s">
        <v>32</v>
      </c>
      <c r="K1" s="2" t="s">
        <v>33</v>
      </c>
      <c r="L1" s="2" t="s">
        <v>44</v>
      </c>
    </row>
    <row r="2" spans="1:12" x14ac:dyDescent="0.25">
      <c r="A2" t="str" cm="1">
        <f t="array" ref="A2:A11">_xlfn.UNIQUE(Raw_Data!B2:B31)</f>
        <v>C001</v>
      </c>
      <c r="B2" t="str">
        <f>_xlfn.XLOOKUP(A2,Raw_Data!B:B,Raw_Data!C:C)</f>
        <v>Amit</v>
      </c>
      <c r="C2">
        <f>SUMIFS(Raw_Data!E:E,Raw_Data!B:B,A2)</f>
        <v>3230</v>
      </c>
      <c r="D2">
        <f>COUNTIFS(Raw_Data!B:B,A2)</f>
        <v>6</v>
      </c>
      <c r="E2" s="3">
        <f>_xlfn.MAXIFS(Raw_Data!D:D,Raw_Data!B:B,A2)</f>
        <v>45402</v>
      </c>
      <c r="F2">
        <f>$L$2-E2</f>
        <v>10</v>
      </c>
      <c r="G2">
        <f>IF(F2&lt;=30,5,
IF(F2&lt;=60,4,
IF(F2&lt;=90,3,
IF(F2&lt;=120,2,1))))</f>
        <v>5</v>
      </c>
      <c r="H2">
        <f>IF(D2&gt;=5,5,
IF(D2=4,4,
IF(D2=3,3,
IF(D2=2,2,1))))</f>
        <v>5</v>
      </c>
      <c r="I2">
        <f>IF(C2&gt;=2500,5,
IF(C2&gt;=1800,4,
IF(C2&gt;=1200,3,
IF(C2&gt;=600,2,1))))</f>
        <v>5</v>
      </c>
      <c r="J2" t="str">
        <f>G2&amp;H2&amp;I2</f>
        <v>555</v>
      </c>
      <c r="K2" t="str">
        <f>IF(AND(G2&gt;=4,H2&gt;=4,I2&gt;=4),"High Value",
IF(AND(G2&gt;=4,H2&gt;=3),"Loyal",
IF(G2&lt;=2,"At Risk",
IF(H2=1,"Low Engagement","Regular"))))</f>
        <v>High Value</v>
      </c>
      <c r="L2" s="3">
        <v>45412</v>
      </c>
    </row>
    <row r="3" spans="1:12" x14ac:dyDescent="0.25">
      <c r="A3" t="str">
        <v>C002</v>
      </c>
      <c r="B3" t="str">
        <f>_xlfn.XLOOKUP(A3,Raw_Data!B:B,Raw_Data!C:C)</f>
        <v>Rahul</v>
      </c>
      <c r="C3">
        <f>SUMIFS(Raw_Data!E:E,Raw_Data!B:B,A3)</f>
        <v>2490</v>
      </c>
      <c r="D3">
        <f>COUNTIFS(Raw_Data!B:B,A3)</f>
        <v>5</v>
      </c>
      <c r="E3" s="3">
        <f>_xlfn.MAXIFS(Raw_Data!D:D,Raw_Data!B:B,A3)</f>
        <v>45407</v>
      </c>
      <c r="F3">
        <f>$L$2-E3</f>
        <v>5</v>
      </c>
      <c r="G3">
        <f t="shared" ref="G3:G11" si="0">IF(F3&lt;=30,5,
IF(F3&lt;=60,4,
IF(F3&lt;=90,3,
IF(F3&lt;=120,2,1))))</f>
        <v>5</v>
      </c>
      <c r="H3">
        <f t="shared" ref="H3:H11" si="1">IF(D3&gt;=5,5,
IF(D3=4,4,
IF(D3=3,3,
IF(D3=2,2,1))))</f>
        <v>5</v>
      </c>
      <c r="I3">
        <f t="shared" ref="I3:I11" si="2">IF(C3&gt;=2500,5,
IF(C3&gt;=1800,4,
IF(C3&gt;=1200,3,
IF(C3&gt;=600,2,1))))</f>
        <v>4</v>
      </c>
      <c r="J3" t="str">
        <f t="shared" ref="J3:J11" si="3">G3&amp;H3&amp;I3</f>
        <v>554</v>
      </c>
      <c r="K3" t="str">
        <f t="shared" ref="K3:K11" si="4">IF(AND(G3&gt;=4,H3&gt;=4,I3&gt;=4),"High Value",
IF(AND(G3&gt;=4,H3&gt;=3),"Loyal",
IF(G3&lt;=2,"At Risk",
IF(H3=1,"Low Engagement","Regular"))))</f>
        <v>High Value</v>
      </c>
    </row>
    <row r="4" spans="1:12" x14ac:dyDescent="0.25">
      <c r="A4" t="str">
        <v>C003</v>
      </c>
      <c r="B4" t="str">
        <f>_xlfn.XLOOKUP(A4,Raw_Data!B:B,Raw_Data!C:C)</f>
        <v>Priya</v>
      </c>
      <c r="C4">
        <f>SUMIFS(Raw_Data!E:E,Raw_Data!B:B,A4)</f>
        <v>2110</v>
      </c>
      <c r="D4">
        <f>COUNTIFS(Raw_Data!B:B,A4)</f>
        <v>5</v>
      </c>
      <c r="E4" s="3">
        <f>_xlfn.MAXIFS(Raw_Data!D:D,Raw_Data!B:B,A4)</f>
        <v>45397</v>
      </c>
      <c r="F4">
        <f>$L$2-E4</f>
        <v>15</v>
      </c>
      <c r="G4">
        <f t="shared" si="0"/>
        <v>5</v>
      </c>
      <c r="H4">
        <f t="shared" si="1"/>
        <v>5</v>
      </c>
      <c r="I4">
        <f t="shared" si="2"/>
        <v>4</v>
      </c>
      <c r="J4" t="str">
        <f t="shared" si="3"/>
        <v>554</v>
      </c>
      <c r="K4" t="str">
        <f t="shared" si="4"/>
        <v>High Value</v>
      </c>
    </row>
    <row r="5" spans="1:12" x14ac:dyDescent="0.25">
      <c r="A5" t="str">
        <v>C004</v>
      </c>
      <c r="B5" t="str">
        <f>_xlfn.XLOOKUP(A5,Raw_Data!B:B,Raw_Data!C:C)</f>
        <v>Neha</v>
      </c>
      <c r="C5">
        <f>SUMIFS(Raw_Data!E:E,Raw_Data!B:B,A5)</f>
        <v>720</v>
      </c>
      <c r="D5">
        <f>COUNTIFS(Raw_Data!B:B,A5)</f>
        <v>3</v>
      </c>
      <c r="E5" s="3">
        <f>_xlfn.MAXIFS(Raw_Data!D:D,Raw_Data!B:B,A5)</f>
        <v>45386</v>
      </c>
      <c r="F5">
        <f>$L$2-E5</f>
        <v>26</v>
      </c>
      <c r="G5">
        <f t="shared" si="0"/>
        <v>5</v>
      </c>
      <c r="H5">
        <f t="shared" si="1"/>
        <v>3</v>
      </c>
      <c r="I5">
        <f t="shared" si="2"/>
        <v>2</v>
      </c>
      <c r="J5" t="str">
        <f t="shared" si="3"/>
        <v>532</v>
      </c>
      <c r="K5" t="str">
        <f t="shared" si="4"/>
        <v>Loyal</v>
      </c>
    </row>
    <row r="6" spans="1:12" x14ac:dyDescent="0.25">
      <c r="A6" t="str">
        <v>C005</v>
      </c>
      <c r="B6" t="str">
        <f>_xlfn.XLOOKUP(A6,Raw_Data!B:B,Raw_Data!C:C)</f>
        <v>Karan</v>
      </c>
      <c r="C6">
        <f>SUMIFS(Raw_Data!E:E,Raw_Data!B:B,A6)</f>
        <v>430</v>
      </c>
      <c r="D6">
        <f>COUNTIFS(Raw_Data!B:B,A6)</f>
        <v>3</v>
      </c>
      <c r="E6" s="3">
        <f>_xlfn.MAXIFS(Raw_Data!D:D,Raw_Data!B:B,A6)</f>
        <v>45400</v>
      </c>
      <c r="F6">
        <f>$L$2-E6</f>
        <v>12</v>
      </c>
      <c r="G6">
        <f t="shared" si="0"/>
        <v>5</v>
      </c>
      <c r="H6">
        <f t="shared" si="1"/>
        <v>3</v>
      </c>
      <c r="I6">
        <f t="shared" si="2"/>
        <v>1</v>
      </c>
      <c r="J6" t="str">
        <f t="shared" si="3"/>
        <v>531</v>
      </c>
      <c r="K6" t="str">
        <f t="shared" si="4"/>
        <v>Loyal</v>
      </c>
    </row>
    <row r="7" spans="1:12" x14ac:dyDescent="0.25">
      <c r="A7" t="str">
        <v>C006</v>
      </c>
      <c r="B7" t="str">
        <f>_xlfn.XLOOKUP(A7,Raw_Data!B:B,Raw_Data!C:C)</f>
        <v>Meera</v>
      </c>
      <c r="C7">
        <f>SUMIFS(Raw_Data!E:E,Raw_Data!B:B,A7)</f>
        <v>2380</v>
      </c>
      <c r="D7">
        <f>COUNTIFS(Raw_Data!B:B,A7)</f>
        <v>3</v>
      </c>
      <c r="E7" s="3">
        <f>_xlfn.MAXIFS(Raw_Data!D:D,Raw_Data!B:B,A7)</f>
        <v>45394</v>
      </c>
      <c r="F7">
        <f>$L$2-E7</f>
        <v>18</v>
      </c>
      <c r="G7">
        <f t="shared" si="0"/>
        <v>5</v>
      </c>
      <c r="H7">
        <f t="shared" si="1"/>
        <v>3</v>
      </c>
      <c r="I7">
        <f t="shared" si="2"/>
        <v>4</v>
      </c>
      <c r="J7" t="str">
        <f t="shared" si="3"/>
        <v>534</v>
      </c>
      <c r="K7" t="str">
        <f t="shared" si="4"/>
        <v>Loyal</v>
      </c>
    </row>
    <row r="8" spans="1:12" x14ac:dyDescent="0.25">
      <c r="A8" t="str">
        <v>C007</v>
      </c>
      <c r="B8" t="str">
        <f>_xlfn.XLOOKUP(A8,Raw_Data!B:B,Raw_Data!C:C)</f>
        <v>Ravi</v>
      </c>
      <c r="C8">
        <f>SUMIFS(Raw_Data!E:E,Raw_Data!B:B,A8)</f>
        <v>470</v>
      </c>
      <c r="D8">
        <f>COUNTIFS(Raw_Data!B:B,A8)</f>
        <v>2</v>
      </c>
      <c r="E8" s="3">
        <f>_xlfn.MAXIFS(Raw_Data!D:D,Raw_Data!B:B,A8)</f>
        <v>45390</v>
      </c>
      <c r="F8">
        <f>$L$2-E8</f>
        <v>22</v>
      </c>
      <c r="G8">
        <f t="shared" si="0"/>
        <v>5</v>
      </c>
      <c r="H8">
        <f t="shared" si="1"/>
        <v>2</v>
      </c>
      <c r="I8">
        <f t="shared" si="2"/>
        <v>1</v>
      </c>
      <c r="J8" t="str">
        <f t="shared" si="3"/>
        <v>521</v>
      </c>
      <c r="K8" t="str">
        <f t="shared" si="4"/>
        <v>Regular</v>
      </c>
    </row>
    <row r="9" spans="1:12" x14ac:dyDescent="0.25">
      <c r="A9" t="str">
        <v>C008</v>
      </c>
      <c r="B9" t="str">
        <f>_xlfn.XLOOKUP(A9,Raw_Data!B:B,Raw_Data!C:C)</f>
        <v>Sonia</v>
      </c>
      <c r="C9">
        <f>SUMIFS(Raw_Data!E:E,Raw_Data!B:B,A9)</f>
        <v>450</v>
      </c>
      <c r="D9">
        <f>COUNTIFS(Raw_Data!B:B,A9)</f>
        <v>1</v>
      </c>
      <c r="E9" s="3">
        <f>_xlfn.MAXIFS(Raw_Data!D:D,Raw_Data!B:B,A9)</f>
        <v>45361</v>
      </c>
      <c r="F9">
        <f>$L$2-E9</f>
        <v>51</v>
      </c>
      <c r="G9">
        <f t="shared" si="0"/>
        <v>4</v>
      </c>
      <c r="H9">
        <f t="shared" si="1"/>
        <v>1</v>
      </c>
      <c r="I9">
        <f t="shared" si="2"/>
        <v>1</v>
      </c>
      <c r="J9" t="str">
        <f t="shared" si="3"/>
        <v>411</v>
      </c>
      <c r="K9" t="str">
        <f t="shared" si="4"/>
        <v>Low Engagement</v>
      </c>
    </row>
    <row r="10" spans="1:12" x14ac:dyDescent="0.25">
      <c r="A10" t="str">
        <v>C009</v>
      </c>
      <c r="B10" t="str">
        <f>_xlfn.XLOOKUP(A10,Raw_Data!B:B,Raw_Data!C:C)</f>
        <v>Vikram</v>
      </c>
      <c r="C10">
        <f>SUMIFS(Raw_Data!E:E,Raw_Data!B:B,A10)</f>
        <v>170</v>
      </c>
      <c r="D10">
        <f>COUNTIFS(Raw_Data!B:B,A10)</f>
        <v>1</v>
      </c>
      <c r="E10" s="3">
        <f>_xlfn.MAXIFS(Raw_Data!D:D,Raw_Data!B:B,A10)</f>
        <v>45363</v>
      </c>
      <c r="F10">
        <f>$L$2-E10</f>
        <v>49</v>
      </c>
      <c r="G10">
        <f t="shared" si="0"/>
        <v>4</v>
      </c>
      <c r="H10">
        <f t="shared" si="1"/>
        <v>1</v>
      </c>
      <c r="I10">
        <f t="shared" si="2"/>
        <v>1</v>
      </c>
      <c r="J10" t="str">
        <f t="shared" si="3"/>
        <v>411</v>
      </c>
      <c r="K10" t="str">
        <f t="shared" si="4"/>
        <v>Low Engagement</v>
      </c>
    </row>
    <row r="11" spans="1:12" x14ac:dyDescent="0.25">
      <c r="A11" t="str">
        <v>C010</v>
      </c>
      <c r="B11" t="str">
        <f>_xlfn.XLOOKUP(A11,Raw_Data!B:B,Raw_Data!C:C)</f>
        <v>Pooja</v>
      </c>
      <c r="C11">
        <f>SUMIFS(Raw_Data!E:E,Raw_Data!B:B,A11)</f>
        <v>130</v>
      </c>
      <c r="D11">
        <f>COUNTIFS(Raw_Data!B:B,A11)</f>
        <v>1</v>
      </c>
      <c r="E11" s="3">
        <f>_xlfn.MAXIFS(Raw_Data!D:D,Raw_Data!B:B,A11)</f>
        <v>45373</v>
      </c>
      <c r="F11">
        <f>$L$2-E11</f>
        <v>39</v>
      </c>
      <c r="G11">
        <f t="shared" si="0"/>
        <v>4</v>
      </c>
      <c r="H11">
        <f t="shared" si="1"/>
        <v>1</v>
      </c>
      <c r="I11">
        <f t="shared" si="2"/>
        <v>1</v>
      </c>
      <c r="J11" t="str">
        <f t="shared" si="3"/>
        <v>411</v>
      </c>
      <c r="K11" t="str">
        <f t="shared" si="4"/>
        <v>Low Engagement</v>
      </c>
    </row>
  </sheetData>
  <conditionalFormatting sqref="K2:K11">
    <cfRule type="containsText" dxfId="5" priority="2" operator="containsText" text="Regular">
      <formula>NOT(ISERROR(SEARCH("Regular",K2)))</formula>
    </cfRule>
    <cfRule type="containsText" dxfId="4" priority="3" operator="containsText" text="Regualr">
      <formula>NOT(ISERROR(SEARCH("Regualr",K2)))</formula>
    </cfRule>
    <cfRule type="containsText" dxfId="3" priority="4" operator="containsText" text="Loyal">
      <formula>NOT(ISERROR(SEARCH("Loyal",K2)))</formula>
    </cfRule>
    <cfRule type="containsText" dxfId="2" priority="5" operator="containsText" text="Loyal">
      <formula>NOT(ISERROR(SEARCH("Loyal",K2)))</formula>
    </cfRule>
    <cfRule type="containsText" dxfId="1" priority="6" operator="containsText" text="High Value">
      <formula>NOT(ISERROR(SEARCH("High Value",K2)))</formula>
    </cfRule>
  </conditionalFormatting>
  <conditionalFormatting sqref="K1:K1048576 L1">
    <cfRule type="containsText" dxfId="0" priority="1" operator="containsText" text="Low Engagement">
      <formula>NOT(ISERROR(SEARCH("Low Engagement",K1)))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8BB1-4041-4B7B-9DD8-2EB6863AE4D2}">
  <dimension ref="F4:P5"/>
  <sheetViews>
    <sheetView showGridLines="0" tabSelected="1" workbookViewId="0">
      <selection activeCell="Q1" sqref="Q1"/>
    </sheetView>
  </sheetViews>
  <sheetFormatPr defaultRowHeight="15" x14ac:dyDescent="0.25"/>
  <cols>
    <col min="6" max="6" width="13.5703125" customWidth="1"/>
    <col min="16" max="16" width="11" customWidth="1"/>
  </cols>
  <sheetData>
    <row r="4" spans="6:16" x14ac:dyDescent="0.25">
      <c r="F4" s="12" t="s">
        <v>34</v>
      </c>
      <c r="H4" s="12" t="s">
        <v>35</v>
      </c>
      <c r="I4" s="12"/>
      <c r="K4" s="10" t="s">
        <v>36</v>
      </c>
      <c r="L4" s="10"/>
      <c r="M4" s="10"/>
      <c r="O4" s="8" t="s">
        <v>37</v>
      </c>
      <c r="P4" s="8"/>
    </row>
    <row r="5" spans="6:16" x14ac:dyDescent="0.25">
      <c r="F5" s="14">
        <f>SUM(Customer_Summary!C:C)</f>
        <v>12580</v>
      </c>
      <c r="H5" s="13">
        <f>COUNTA(Customer_Summary!A:A)</f>
        <v>11</v>
      </c>
      <c r="I5" s="13"/>
      <c r="K5" s="11">
        <f>AVERAGE(Customer_Summary!C:C)</f>
        <v>1258</v>
      </c>
      <c r="L5" s="11"/>
      <c r="M5" s="11"/>
      <c r="O5" s="9">
        <f>COUNTIF(Customer_Summary!K:K,"High Value")</f>
        <v>3</v>
      </c>
      <c r="P5" s="9"/>
    </row>
  </sheetData>
  <mergeCells count="3">
    <mergeCell ref="O5:P5"/>
    <mergeCell ref="K5:M5"/>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Pivots</vt:lpstr>
      <vt:lpstr>Customer_Summary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Sharma</dc:creator>
  <cp:lastModifiedBy>Amit Sharma</cp:lastModifiedBy>
  <dcterms:created xsi:type="dcterms:W3CDTF">2026-05-07T08:10:01Z</dcterms:created>
  <dcterms:modified xsi:type="dcterms:W3CDTF">2026-05-07T10:16:24Z</dcterms:modified>
</cp:coreProperties>
</file>
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ita\Desktop\"/>
    </mc:Choice>
  </mc:AlternateContent>
  <xr:revisionPtr revIDLastSave="0" documentId="13_ncr:1_{A0C0D8EE-64CE-4EDF-96EC-FDCCD6A75922}" xr6:coauthVersionLast="47" xr6:coauthVersionMax="47" xr10:uidLastSave="{00000000-0000-0000-0000-000000000000}"/>
  <bookViews>
    <workbookView xWindow="-120" yWindow="-120" windowWidth="20730" windowHeight="11280" activeTab="5" xr2:uid="{0665759F-7715-4EAE-83A1-91073F314878}"/>
  </bookViews>
  <sheets>
    <sheet name="Inventory_Data" sheetId="1" r:id="rId1"/>
    <sheet name="Orders_Data" sheetId="2" r:id="rId2"/>
    <sheet name="Suppliers" sheetId="3" r:id="rId3"/>
    <sheet name="Calculations" sheetId="4" r:id="rId4"/>
    <sheet name="Dashboard" sheetId="5" r:id="rId5"/>
    <sheet name="Pivots" sheetId="6" r:id="rId6"/>
  </sheets>
  <calcPr calcId="191029"/>
  <pivotCaches>
    <pivotCache cacheId="17" r:id="rId7"/>
    <pivotCache cacheId="2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5" l="1"/>
  <c r="M2" i="5"/>
  <c r="K2" i="5"/>
  <c r="I2" i="5"/>
  <c r="F2" i="5"/>
  <c r="C2" i="2"/>
  <c r="C3" i="2"/>
  <c r="C4" i="2"/>
  <c r="C5" i="2"/>
  <c r="C6" i="2"/>
  <c r="C7" i="2"/>
  <c r="C8" i="2"/>
  <c r="C9" i="2"/>
  <c r="C10" i="2"/>
  <c r="C11" i="2"/>
  <c r="C2" i="4"/>
  <c r="B2" i="4"/>
  <c r="A2" i="4"/>
  <c r="M2" i="1"/>
  <c r="M3" i="1"/>
  <c r="M4" i="1"/>
  <c r="M5" i="1"/>
  <c r="M6" i="1"/>
  <c r="M7" i="1"/>
  <c r="M8" i="1"/>
  <c r="M9" i="1"/>
  <c r="M10" i="1"/>
  <c r="M11" i="1"/>
  <c r="L2" i="1"/>
  <c r="L3" i="1"/>
  <c r="L4" i="1"/>
  <c r="L5" i="1"/>
  <c r="L6" i="1"/>
  <c r="L7" i="1"/>
  <c r="L8" i="1"/>
  <c r="L9" i="1"/>
  <c r="L10" i="1"/>
  <c r="L11" i="1"/>
  <c r="I8" i="2"/>
  <c r="I9" i="2"/>
  <c r="H3" i="2"/>
  <c r="I3" i="2" s="1"/>
  <c r="H2" i="2"/>
  <c r="I2" i="2" s="1"/>
  <c r="H4" i="2"/>
  <c r="I4" i="2" s="1"/>
  <c r="H5" i="2"/>
  <c r="I5" i="2" s="1"/>
  <c r="H6" i="2"/>
  <c r="I6" i="2" s="1"/>
  <c r="H7" i="2"/>
  <c r="I7" i="2" s="1"/>
  <c r="H8" i="2"/>
  <c r="H9" i="2"/>
  <c r="H10" i="2"/>
  <c r="I10" i="2" s="1"/>
  <c r="H11" i="2"/>
  <c r="I11" i="2" s="1"/>
  <c r="J2" i="1"/>
  <c r="J3" i="1"/>
  <c r="J4" i="1"/>
  <c r="J5" i="1"/>
  <c r="J6" i="1"/>
  <c r="J7" i="1"/>
  <c r="J8" i="1"/>
  <c r="J9" i="1"/>
  <c r="J10" i="1"/>
  <c r="J11" i="1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<sst xmlns="http://schemas.openxmlformats.org/spreadsheetml/2006/main" count="139" uniqueCount="94">
  <si>
    <t>Product_Name</t>
  </si>
  <si>
    <t>Category</t>
  </si>
  <si>
    <t>Supplier</t>
  </si>
  <si>
    <t>P001</t>
  </si>
  <si>
    <t>Keyboard</t>
  </si>
  <si>
    <t>Electronics</t>
  </si>
  <si>
    <t>TechSource</t>
  </si>
  <si>
    <t>P002</t>
  </si>
  <si>
    <t>Mouse</t>
  </si>
  <si>
    <t>P003</t>
  </si>
  <si>
    <t>Office Chair</t>
  </si>
  <si>
    <t>Furniture</t>
  </si>
  <si>
    <t>FurniHub</t>
  </si>
  <si>
    <t>P004</t>
  </si>
  <si>
    <t>Desk</t>
  </si>
  <si>
    <t>P005</t>
  </si>
  <si>
    <t>Notebook</t>
  </si>
  <si>
    <t>Stationery</t>
  </si>
  <si>
    <t>PaperWorld</t>
  </si>
  <si>
    <t>P006</t>
  </si>
  <si>
    <t>Printer</t>
  </si>
  <si>
    <t>PrintMax</t>
  </si>
  <si>
    <t>P007</t>
  </si>
  <si>
    <t>Pen Pack</t>
  </si>
  <si>
    <t>P008</t>
  </si>
  <si>
    <t>Monitor</t>
  </si>
  <si>
    <t>VisionTech</t>
  </si>
  <si>
    <t>P009</t>
  </si>
  <si>
    <t>Filing Cabinet</t>
  </si>
  <si>
    <t>P010</t>
  </si>
  <si>
    <t>Sticky Notes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</si>
  <si>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</si>
  <si>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</si>
  <si>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</si>
  <si>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</si>
  <si>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</si>
  <si>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</si>
  <si>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</si>
  <si>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</si>
  <si>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</si>
  <si>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</si>
  <si>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City</t>
  </si>
  <si>
    <t>John Smith</t>
  </si>
  <si>
    <t>New York</t>
  </si>
  <si>
    <t>Sarah Lee</t>
  </si>
  <si>
    <t>Chicago</t>
  </si>
  <si>
    <t>Michael Brown</t>
  </si>
  <si>
    <t>Dallas</t>
  </si>
  <si>
    <t>David Clark</t>
  </si>
  <si>
    <t>Boston</t>
  </si>
  <si>
    <t>Emma Wilson</t>
  </si>
  <si>
    <t>Seattle</t>
  </si>
  <si>
    <t>Product ID</t>
  </si>
  <si>
    <t>Current Stock</t>
  </si>
  <si>
    <t>Reorder Level</t>
  </si>
  <si>
    <t>Unit Cost</t>
  </si>
  <si>
    <t>Last Restock Date</t>
  </si>
  <si>
    <t>Inventory Value</t>
  </si>
  <si>
    <t>Stock Status</t>
  </si>
  <si>
    <t>Expected Delivery</t>
  </si>
  <si>
    <t>Order Date</t>
  </si>
  <si>
    <t>Order ID</t>
  </si>
  <si>
    <t>Actual Delivery</t>
  </si>
  <si>
    <t>Quantity Ordered</t>
  </si>
  <si>
    <t>Delay Days</t>
  </si>
  <si>
    <t>Delivery Status</t>
  </si>
  <si>
    <t>Avg Daily Sales</t>
  </si>
  <si>
    <t>Lead Time</t>
  </si>
  <si>
    <t>Lead Time Days</t>
  </si>
  <si>
    <t>Contact Person</t>
  </si>
  <si>
    <t>Recommended Reorder Point</t>
  </si>
  <si>
    <t>Total Ordered Quantity</t>
  </si>
  <si>
    <t>Average Inventory</t>
  </si>
  <si>
    <t>Inventory Turnover</t>
  </si>
  <si>
    <t>Row Labels</t>
  </si>
  <si>
    <t>Grand Total</t>
  </si>
  <si>
    <t>Sum of Current Stock</t>
  </si>
  <si>
    <t>Sum of Inventory Value</t>
  </si>
  <si>
    <t>Inventory by Category</t>
  </si>
  <si>
    <t>Supplier Performance</t>
  </si>
  <si>
    <t>Average of Delay Days</t>
  </si>
  <si>
    <t>Normal</t>
  </si>
  <si>
    <t>Low Stock</t>
  </si>
  <si>
    <t>Overstock</t>
  </si>
  <si>
    <t>Count of Product ID</t>
  </si>
  <si>
    <t>Monthly Orders</t>
  </si>
  <si>
    <t>Sum of Quantity Ordered</t>
  </si>
  <si>
    <t>2026</t>
  </si>
  <si>
    <t>Jan</t>
  </si>
  <si>
    <t>Total Inventory Value</t>
  </si>
  <si>
    <t>Total Products</t>
  </si>
  <si>
    <t>Low Stock Items</t>
  </si>
  <si>
    <t>Overstock Items</t>
  </si>
  <si>
    <t>Delayed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</si>
</sst>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2" borderId="0" xfId="0" applyFont="1" applyFill="1" applyAlignment="1"/>
    <xf numFmtId="0" fontId="0" fillId="0" borderId="0" xfId="0" applyAlignment="1">
      <alignment horizontal="left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20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03C5E0C-D145-41EE-AE71-0F6AC09428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[Supply_Chain_Inventory_Dashboard.xlsx]Pivots!PivotTable1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Inventory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Sum of Inventory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Pivots!$B$4:$B$7</c:f>
              <c:numCache>
                <c:formatCode>General</c:formatCode>
                <c:ptCount val="3"/>
                <c:pt idx="0">
                  <c:v>7860</c:v>
                </c:pt>
                <c:pt idx="1">
                  <c:v>9400</c:v>
                </c:pt>
                <c:pt idx="2">
                  <c:v>3220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8-4647-A245-C004CD8EDDFD}"/>
            </c:ext>
          </c:extLst>
        </c:ser>
        <c:ser>
          <c:idx val="1"/>
          <c:order val="1"/>
          <c:tx>
            <c:strRef>
              <c:f>Pivots!$C$3</c:f>
              <c:strCache>
                <c:ptCount val="1"/>
                <c:pt idx="0">
                  <c:v>Sum of Current Stock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Pivots!$C$4:$C$7</c:f>
              <c:numCache>
                <c:formatCode>General</c:formatCode>
                <c:ptCount val="3"/>
                <c:pt idx="0">
                  <c:v>180</c:v>
                </c:pt>
                <c:pt idx="1">
                  <c:v>80</c:v>
                </c:pt>
                <c:pt idx="2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8-4647-A245-C004CD8E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723279"/>
        <c:axId val="1957719919"/>
      </c:barChart>
      <c:catAx>
        <c:axId val="195772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719919"/>
        <c:crosses val="autoZero"/>
        <c:auto val="1"/>
        <c:lblAlgn val="ctr"/>
        <c:lblOffset val="100"/>
        <c:noMultiLvlLbl val="0"/>
      </c:catAx>
      <c:valAx>
        <c:axId val="19577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7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[Supply_Chain_Inventory_Dashboard.xlsx]Pivots!PivotTable4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Supplier</a:t>
            </a:r>
            <a:r>
              <a:rPr lang="en-IN" baseline="0"/>
              <a:t> Delay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Pivots!$E$4:$E$9</c:f>
              <c:strCache>
                <c:ptCount val="5"/>
                <c:pt idx="0">
                  <c:v>FurniHub</c:v>
                </c:pt>
                <c:pt idx="1">
                  <c:v>PaperWorld</c:v>
                </c:pt>
                <c:pt idx="2">
                  <c:v>PrintMax</c:v>
                </c:pt>
                <c:pt idx="3">
                  <c:v>TechSource</c:v>
                </c:pt>
                <c:pt idx="4">
                  <c:v>VisionTech</c:v>
                </c:pt>
              </c:strCache>
            </c:strRef>
          </c:cat>
          <c:val>
            <c:numRef>
              <c:f>Pivots!$F$4:$F$9</c:f>
              <c:numCache>
                <c:formatCode>0.00</c:formatCode>
                <c:ptCount val="5"/>
                <c:pt idx="0">
                  <c:v>1.6666666666666667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6-4C14-B73F-CD3E534B3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204079"/>
        <c:axId val="684658351"/>
      </c:barChart>
      <c:catAx>
        <c:axId val="56920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58351"/>
        <c:crosses val="autoZero"/>
        <c:auto val="1"/>
        <c:lblAlgn val="ctr"/>
        <c:lblOffset val="100"/>
        <c:noMultiLvlLbl val="0"/>
      </c:catAx>
      <c:valAx>
        <c:axId val="68465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0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[Supply_Chain_Inventory_Dashboard.xlsx]Pivots!PivotTable5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E-4D10-B7C6-272C182456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E-4D10-B7C6-272C182456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1E-4D10-B7C6-272C18245678}"/>
              </c:ext>
            </c:extLst>
          </c:dPt>
          <c:cat>
            <c:strRef>
              <c:f>Pivots!$H$4:$H$7</c:f>
              <c:strCache>
                <c:ptCount val="3"/>
                <c:pt idx="0">
                  <c:v>Normal</c:v>
                </c:pt>
                <c:pt idx="1">
                  <c:v>Low Stock</c:v>
                </c:pt>
                <c:pt idx="2">
                  <c:v>Overstock</c:v>
                </c:pt>
              </c:strCache>
            </c:strRef>
          </c:cat>
          <c:val>
            <c:numRef>
              <c:f>Pivots!$I$4:$I$7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E-4D10-B7C6-272C18245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161925</xdr:rowOff>
    </xdr:from>
    <xdr:to>
      <xdr:col>6</xdr:col>
      <xdr:colOff>161925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25BF1-3746-44C3-B977-88C676736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5</xdr:row>
      <xdr:rowOff>0</xdr:rowOff>
    </xdr:from>
    <xdr:to>
      <xdr:col>12</xdr:col>
      <xdr:colOff>428625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13A32-0DF0-4CF9-B993-0E056EC87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552449</xdr:colOff>
      <xdr:row>5</xdr:row>
      <xdr:rowOff>0</xdr:rowOff>
    </xdr:from>
    <xdr:to>
      <xdr:col>19</xdr:col>
      <xdr:colOff>428624</xdr:colOff>
      <xdr:row>17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28684E-634F-4EBE-8EC2-327B1C751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150.536167361111" createdVersion="8" refreshedVersion="8" minRefreshableVersion="3" recordCount="10" xr:uid="{3F181B28-EE7D-4E12-9347-90D74C0D4299}">
  <cacheSource type="worksheet">
    <worksheetSource name="tblInventory"/>
  </cacheSource>
  <cacheFields count="13">
    <cacheField name="Product ID" numFmtId="0">
      <sharedItems/>
    </cacheField>
    <cacheField name="Product_Name" numFmtId="0">
      <sharedItems/>
    </cacheField>
    <cacheField name="Category" numFmtId="0">
      <sharedItems count="3">
        <s v="Electronics"/>
        <s v="Furniture"/>
        <s v="Stationery"/>
      </sharedItems>
    </cacheField>
    <cacheField name="Supplier" numFmtId="0">
      <sharedItems count="5">
        <s v="TechSource"/>
        <s v="FurniHub"/>
        <s v="PaperWorld"/>
        <s v="PrintMax"/>
        <s v="VisionTech"/>
      </sharedItems>
    </cacheField>
    <cacheField name="Current Stock" numFmtId="0">
      <sharedItems containsSemiMixedTypes="0" containsString="0" containsNumber="1" containsInteger="1" minValue="5" maxValue="500"/>
    </cacheField>
    <cacheField name="Reorder Level" numFmtId="0">
      <sharedItems containsSemiMixedTypes="0" containsString="0" containsNumber="1" containsInteger="1" minValue="10" maxValue="150"/>
    </cacheField>
    <cacheField name="Unit Cost" numFmtId="0">
      <sharedItems containsSemiMixedTypes="0" containsString="0" containsNumber="1" containsInteger="1" minValue="2" maxValue="200"/>
    </cacheField>
    <cacheField name="Last Restock Date" numFmtId="15">
      <sharedItems containsSemiMixedTypes="0" containsNonDate="0" containsDate="1" containsString="0" minDate="2026-01-01T00:00:00" maxDate="2026-02-07T00:00:00"/>
    </cacheField>
    <cacheField name="Inventory Value" numFmtId="0">
      <sharedItems containsSemiMixedTypes="0" containsString="0" containsNumber="1" containsInteger="1" minValue="120" maxValue="7200"/>
    </cacheField>
    <cacheField name="Stock Status" numFmtId="0">
      <sharedItems count="3">
        <s v="Normal"/>
        <s v="Low Stock"/>
        <s v="Overstock"/>
      </sharedItems>
    </cacheField>
    <cacheField name="Avg Daily Sales" numFmtId="0">
      <sharedItems containsSemiMixedTypes="0" containsString="0" containsNumber="1" containsInteger="1" minValue="1" maxValue="25"/>
    </cacheField>
    <cacheField name="Lead Time" numFmtId="0">
      <sharedItems containsSemiMixedTypes="0" containsString="0" containsNumber="1" containsInteger="1" minValue="4" maxValue="7"/>
    </cacheField>
    <cacheField name="Recommended Reorder Point" numFmtId="0">
      <sharedItems containsSemiMixedTypes="0" containsString="0" containsNumber="1" containsInteger="1" minValue="6" maxValue="100"/>
    </cacheField>
  </cacheFields>
  <extLst>
    <ext xmlns:x14="http://schemas.microsoft.com/office/spreadsheetml/2009/9/main" uri="{725AE2AE-9491-48be-B2B4-4EB974FC3084}">
      <x14:pivotCacheDefinition pivotCacheId="59935513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150.541755092592" createdVersion="8" refreshedVersion="8" minRefreshableVersion="3" recordCount="10" xr:uid="{D5A0BD86-2A08-4E58-A312-10C5AE3E5FA4}">
  <cacheSource type="worksheet">
    <worksheetSource name="tblOrders"/>
  </cacheSource>
  <cacheFields count="11">
    <cacheField name="Order ID" numFmtId="0">
      <sharedItems/>
    </cacheField>
    <cacheField name="Product ID" numFmtId="0">
      <sharedItems/>
    </cacheField>
    <cacheField name="Supplier" numFmtId="0">
      <sharedItems count="5">
        <s v="TechSource"/>
        <s v="FurniHub"/>
        <s v="PaperWorld"/>
        <s v="PrintMax"/>
        <s v="VisionTech"/>
      </sharedItems>
    </cacheField>
    <cacheField name="Order Date" numFmtId="15">
      <sharedItems containsSemiMixedTypes="0" containsNonDate="0" containsDate="1" containsString="0" minDate="2026-01-01T00:00:00" maxDate="2026-01-26T00:00:00" count="10">
        <d v="2026-01-01T00:00:00"/>
        <d v="2026-01-03T00:00:00"/>
        <d v="2026-01-05T00:00:00"/>
        <d v="2026-01-08T00:00:00"/>
        <d v="2026-01-10T00:00:00"/>
        <d v="2026-01-12T00:00:00"/>
        <d v="2026-01-14T00:00:00"/>
        <d v="2026-01-18T00:00:00"/>
        <d v="2026-01-20T00:00:00"/>
        <d v="2026-01-25T00:00:00"/>
      </sharedItems>
      <fieldGroup par="10"/>
    </cacheField>
    <cacheField name="Expected Delivery" numFmtId="15">
      <sharedItems containsSemiMixedTypes="0" containsNonDate="0" containsDate="1" containsString="0" minDate="2026-01-05T00:00:00" maxDate="2026-01-31T00:00:00"/>
    </cacheField>
    <cacheField name="Actual Delivery" numFmtId="15">
      <sharedItems containsSemiMixedTypes="0" containsNonDate="0" containsDate="1" containsString="0" minDate="2026-01-06T00:00:00" maxDate="2026-02-03T00:00:00"/>
    </cacheField>
    <cacheField name="Quantity Ordered" numFmtId="0">
      <sharedItems containsSemiMixedTypes="0" containsString="0" containsNumber="1" containsInteger="1" minValue="8" maxValue="500"/>
    </cacheField>
    <cacheField name="Delay Days" numFmtId="2">
      <sharedItems containsSemiMixedTypes="0" containsString="0" containsNumber="1" containsInteger="1" minValue="-1" maxValue="4"/>
    </cacheField>
    <cacheField name="Delivery Status" numFmtId="15">
      <sharedItems containsNonDate="0"/>
    </cacheField>
    <cacheField name="Months (Order Date)" numFmtId="0" databaseField="0">
      <fieldGroup base="3">
        <rangePr groupBy="months" startDate="2026-01-01T00:00:00" endDate="2026-01-26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1-2026"/>
        </groupItems>
      </fieldGroup>
    </cacheField>
    <cacheField name="Years (Order Date)" numFmtId="0" databaseField="0">
      <fieldGroup base="3">
        <rangePr groupBy="years" startDate="2026-01-01T00:00:00" endDate="2026-01-26T00:00:00"/>
        <groupItems count="3">
          <s v="&lt;01-01-2026"/>
          <s v="2026"/>
          <s v="&gt;26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001"/>
    <s v="Keyboard"/>
    <x v="0"/>
    <x v="0"/>
    <n v="120"/>
    <n v="50"/>
    <n v="20"/>
    <d v="2026-01-01T00:00:00"/>
    <n v="2400"/>
    <x v="0"/>
    <n v="8"/>
    <n v="5"/>
    <n v="40"/>
  </r>
  <r>
    <s v="P002"/>
    <s v="Mouse"/>
    <x v="0"/>
    <x v="0"/>
    <n v="30"/>
    <n v="40"/>
    <n v="10"/>
    <d v="2026-01-10T00:00:00"/>
    <n v="300"/>
    <x v="1"/>
    <n v="5"/>
    <n v="5"/>
    <n v="25"/>
  </r>
  <r>
    <s v="P003"/>
    <s v="Office Chair"/>
    <x v="1"/>
    <x v="1"/>
    <n v="15"/>
    <n v="20"/>
    <n v="80"/>
    <d v="2026-01-15T00:00:00"/>
    <n v="1200"/>
    <x v="1"/>
    <n v="2"/>
    <n v="7"/>
    <n v="14"/>
  </r>
  <r>
    <s v="P004"/>
    <s v="Desk"/>
    <x v="1"/>
    <x v="1"/>
    <n v="60"/>
    <n v="25"/>
    <n v="120"/>
    <d v="2026-01-18T00:00:00"/>
    <n v="7200"/>
    <x v="0"/>
    <n v="3"/>
    <n v="7"/>
    <n v="21"/>
  </r>
  <r>
    <s v="P005"/>
    <s v="Notebook"/>
    <x v="2"/>
    <x v="2"/>
    <n v="300"/>
    <n v="100"/>
    <n v="2"/>
    <d v="2026-01-20T00:00:00"/>
    <n v="600"/>
    <x v="0"/>
    <n v="20"/>
    <n v="4"/>
    <n v="80"/>
  </r>
  <r>
    <s v="P006"/>
    <s v="Printer"/>
    <x v="0"/>
    <x v="3"/>
    <n v="8"/>
    <n v="10"/>
    <n v="150"/>
    <d v="2026-01-25T00:00:00"/>
    <n v="1200"/>
    <x v="1"/>
    <n v="1"/>
    <n v="6"/>
    <n v="6"/>
  </r>
  <r>
    <s v="P007"/>
    <s v="Pen Pack"/>
    <x v="2"/>
    <x v="2"/>
    <n v="500"/>
    <n v="150"/>
    <n v="5"/>
    <d v="2026-01-28T00:00:00"/>
    <n v="2500"/>
    <x v="2"/>
    <n v="25"/>
    <n v="4"/>
    <n v="100"/>
  </r>
  <r>
    <s v="P008"/>
    <s v="Monitor"/>
    <x v="0"/>
    <x v="4"/>
    <n v="22"/>
    <n v="15"/>
    <n v="180"/>
    <d v="2026-02-02T00:00:00"/>
    <n v="3960"/>
    <x v="0"/>
    <n v="2"/>
    <n v="5"/>
    <n v="10"/>
  </r>
  <r>
    <s v="P009"/>
    <s v="Filing Cabinet"/>
    <x v="1"/>
    <x v="1"/>
    <n v="5"/>
    <n v="10"/>
    <n v="200"/>
    <d v="2026-02-04T00:00:00"/>
    <n v="1000"/>
    <x v="1"/>
    <n v="1"/>
    <n v="7"/>
    <n v="7"/>
  </r>
  <r>
    <s v="P010"/>
    <s v="Sticky Notes"/>
    <x v="2"/>
    <x v="2"/>
    <n v="40"/>
    <n v="60"/>
    <n v="3"/>
    <d v="2026-02-06T00:00:00"/>
    <n v="120"/>
    <x v="1"/>
    <n v="6"/>
    <n v="4"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001"/>
    <s v="P001"/>
    <x v="0"/>
    <x v="0"/>
    <d v="2026-01-05T00:00:00"/>
    <d v="2026-01-06T00:00:00"/>
    <n v="100"/>
    <n v="1"/>
    <s v="Delayed"/>
  </r>
  <r>
    <s v="O002"/>
    <s v="P002"/>
    <x v="0"/>
    <x v="1"/>
    <d v="2026-01-08T00:00:00"/>
    <d v="2026-01-07T00:00:00"/>
    <n v="80"/>
    <n v="-1"/>
    <s v="On Time"/>
  </r>
  <r>
    <s v="O003"/>
    <s v="P003"/>
    <x v="1"/>
    <x v="2"/>
    <d v="2026-01-12T00:00:00"/>
    <d v="2026-01-14T00:00:00"/>
    <n v="25"/>
    <n v="2"/>
    <s v="Delayed"/>
  </r>
  <r>
    <s v="O004"/>
    <s v="P004"/>
    <x v="1"/>
    <x v="3"/>
    <d v="2026-01-14T00:00:00"/>
    <d v="2026-01-14T00:00:00"/>
    <n v="40"/>
    <n v="0"/>
    <s v="On Time"/>
  </r>
  <r>
    <s v="O005"/>
    <s v="P005"/>
    <x v="2"/>
    <x v="4"/>
    <d v="2026-01-15T00:00:00"/>
    <d v="2026-01-16T00:00:00"/>
    <n v="500"/>
    <n v="1"/>
    <s v="Delayed"/>
  </r>
  <r>
    <s v="O006"/>
    <s v="P006"/>
    <x v="3"/>
    <x v="5"/>
    <d v="2026-01-18T00:00:00"/>
    <d v="2026-01-22T00:00:00"/>
    <n v="10"/>
    <n v="4"/>
    <s v="Delayed"/>
  </r>
  <r>
    <s v="O007"/>
    <s v="P007"/>
    <x v="2"/>
    <x v="6"/>
    <d v="2026-01-20T00:00:00"/>
    <d v="2026-01-19T00:00:00"/>
    <n v="300"/>
    <n v="-1"/>
    <s v="On Time"/>
  </r>
  <r>
    <s v="O008"/>
    <s v="P008"/>
    <x v="4"/>
    <x v="7"/>
    <d v="2026-01-25T00:00:00"/>
    <d v="2026-01-28T00:00:00"/>
    <n v="20"/>
    <n v="3"/>
    <s v="Delayed"/>
  </r>
  <r>
    <s v="O009"/>
    <s v="P009"/>
    <x v="1"/>
    <x v="8"/>
    <d v="2026-01-27T00:00:00"/>
    <d v="2026-01-30T00:00:00"/>
    <n v="8"/>
    <n v="3"/>
    <s v="Delayed"/>
  </r>
  <r>
    <s v="O010"/>
    <s v="P010"/>
    <x v="2"/>
    <x v="9"/>
    <d v="2026-01-30T00:00:00"/>
    <d v="2026-02-02T00:00:00"/>
    <n v="100"/>
    <n v="3"/>
    <s v="Delay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B9E28-F12D-47DC-8003-18E913A04B7C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K3:L6" firstHeaderRow="1" firstDataRow="1" firstDataCol="1"/>
  <pivotFields count="11">
    <pivotField showAll="0"/>
    <pivotField showAll="0"/>
    <pivotField showAll="0"/>
    <pivotField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5" showAll="0"/>
    <pivotField numFmtId="15" showAll="0"/>
    <pivotField dataField="1" showAll="0"/>
    <pivotField numFmtId="2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0"/>
    <field x="9"/>
  </rowFields>
  <rowItems count="3">
    <i>
      <x v="1"/>
    </i>
    <i r="1">
      <x v="1"/>
    </i>
    <i t="grand">
      <x/>
    </i>
  </rowItems>
  <colItems count="1">
    <i/>
  </colItems>
  <dataFields count="1">
    <dataField name="Sum of Quantity Order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9ABC6-3EEC-4701-9267-50CAD537CBA6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I7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 ID" fld="0" subtotal="count" baseField="9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9108C-25CC-43D9-B53C-81C28C41B656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3:F9" firstHeaderRow="1" firstDataRow="1" firstDataCol="1"/>
  <pivotFields count="11"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5" showAll="0"/>
    <pivotField numFmtId="15" showAll="0"/>
    <pivotField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lay Days" fld="7" subtotal="average" baseField="2" baseItem="0" numFmtId="2"/>
  </dataField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F3D05-B10D-4A96-8BC5-5BF1FB2767B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7" firstHeaderRow="0" firstDataRow="1" firstDataCol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dataField="1" showAll="0"/>
    <pivotField showAll="0"/>
    <pivotField showAll="0"/>
    <pivotField numFmtId="15" showAll="0"/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entory Value" fld="8" baseField="0" baseItem="0"/>
    <dataField name="Sum of Current Stock" fld="4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6B727-1CE4-415A-8124-8F0255359D9A}" name="tblInventory" displayName="tblInventory" ref="A1:M11" totalsRowShown="0" headerRowDxfId="19" dataDxfId="18">
  <autoFilter ref="A1:M11" xr:uid="{4B06B727-1CE4-415A-8124-8F0255359D9A}"/>
  <tableColumns count="13">
    <tableColumn id="1" xr3:uid="{987CF111-D24C-4EFD-8951-2C0939F568AA}" name="Product ID" dataDxfId="17"/>
    <tableColumn id="2" xr3:uid="{41F9F3E4-71BA-4989-AC52-7DC5F4E426A1}" name="Product_Name" dataDxfId="16"/>
    <tableColumn id="3" xr3:uid="{D9849E31-8E0A-4ABB-9EED-00332CD37E65}" name="Category" dataDxfId="15"/>
    <tableColumn id="4" xr3:uid="{DE5185CE-4E07-4C97-A229-12BC4705F020}" name="Supplier" dataDxfId="14"/>
    <tableColumn id="5" xr3:uid="{7BF59ACD-DD91-491B-B0BF-AF074781759C}" name="Current Stock" dataDxfId="13"/>
    <tableColumn id="6" xr3:uid="{B0BF057D-41C0-4CC7-9D51-B4F80C16C62B}" name="Reorder Level" dataDxfId="12"/>
    <tableColumn id="7" xr3:uid="{04205405-B5A2-4C5E-9550-83CEDA83B78B}" name="Unit Cost" dataDxfId="11"/>
    <tableColumn id="8" xr3:uid="{3AE5C0B1-695E-484A-B6A6-A299BDDD78E4}" name="Last Restock Date" dataDxfId="10"/>
    <tableColumn id="9" xr3:uid="{19EBB8D3-4B59-4CDF-A8F6-5C51F41DC4E0}" name="Inventory Value" dataDxfId="9">
      <calculatedColumnFormula>tblInventory[[#This Row],[Current Stock]]*tblInventory[[#This Row],[Unit Cost]]</calculatedColumnFormula>
    </tableColumn>
    <tableColumn id="10" xr3:uid="{91D5332D-47EC-4566-90A6-5172D2A5E126}" name="Stock Status" dataDxfId="8">
      <calculatedColumnFormula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calculatedColumnFormula>
    </tableColumn>
    <tableColumn id="11" xr3:uid="{2C65F323-FA60-494E-8231-D7790CC36356}" name="Avg Daily Sales" dataDxfId="20"/>
    <tableColumn id="12" xr3:uid="{3A7A5C94-68D0-4195-AAA9-A16434C35F66}" name="Lead Time" dataDxfId="7">
      <calculatedColumnFormula>_xlfn.XLOOKUP(tblInventory[[#This Row],[Supplier]],tblSuppliers[Supplier],tblSuppliers[Lead Time Days])</calculatedColumnFormula>
    </tableColumn>
    <tableColumn id="13" xr3:uid="{35397B99-FC68-48D6-BAED-B3C4CB542170}" name="Recommended Reorder Point" dataDxfId="6">
      <calculatedColumnFormula>tblInventory[[#This Row],[Avg Daily Sales]]*tblInventory[[#This Row],[Lead Time]]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4FB9B-09B1-47EE-8088-3238B6F429FE}" name="tblOrders" displayName="tblOrders" ref="A1:I11" totalsRowShown="0" headerRowDxfId="25" dataDxfId="31">
  <autoFilter ref="A1:I11" xr:uid="{F654FB9B-09B1-47EE-8088-3238B6F429FE}"/>
  <tableColumns count="9">
    <tableColumn id="1" xr3:uid="{A44EA673-93B7-4D28-85CE-1640C07D91B4}" name="Order ID" dataDxfId="36"/>
    <tableColumn id="2" xr3:uid="{AD3A1A1D-8AD8-4C48-B803-E49A288DC863}" name="Product ID" dataDxfId="35"/>
    <tableColumn id="9" xr3:uid="{82A63E27-1AE7-4B00-8727-FA7C81FD7C2C}" name="Supplier" dataDxfId="5">
      <calculatedColumnFormula>_xlfn.XLOOKUP(tblOrders[[#This Row],[Product ID]],tblInventory[Product ID],tblInventory[Supplier])</calculatedColumnFormula>
    </tableColumn>
    <tableColumn id="3" xr3:uid="{CAD5A7A7-5387-40F6-8B36-08103525A28D}" name="Order Date" dataDxfId="34"/>
    <tableColumn id="4" xr3:uid="{453F15EF-821F-4307-AE29-2BAB0CE06BF4}" name="Expected Delivery" dataDxfId="33"/>
    <tableColumn id="5" xr3:uid="{B2578111-FF90-47B0-B42D-ED13F58CD8F7}" name="Actual Delivery" dataDxfId="32"/>
    <tableColumn id="6" xr3:uid="{450B69A9-00B1-4295-AB1E-70BAF6317740}" name="Quantity Ordered" dataDxfId="23"/>
    <tableColumn id="7" xr3:uid="{1B7DBDDD-0C98-4E29-B460-48F448C2FC75}" name="Delay Days" dataDxfId="21">
      <calculatedColumnFormula>tblOrders[[#This Row],[Actual Delivery]]-tblOrders[[#This Row],[Expected Delivery]]</calculatedColumnFormula>
    </tableColumn>
    <tableColumn id="8" xr3:uid="{69E2C9F0-3445-40D5-9AC3-3C1D9FC4205B}" name="Delivery Status" dataDxfId="22">
      <calculatedColumnFormula>IF(tblOrders[[#This Row],[Delay Days]]&gt;0,"Delayed","On Time")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E92489-EFD4-4E6D-B77D-C610F35EC5FC}" name="tblSuppliers" displayName="tblSuppliers" ref="A1:D6" totalsRowShown="0" headerRowDxfId="24" dataDxfId="26">
  <autoFilter ref="A1:D6" xr:uid="{81E92489-EFD4-4E6D-B77D-C610F35EC5FC}"/>
  <tableColumns count="4">
    <tableColumn id="1" xr3:uid="{42F7ABA7-2348-4142-9B0E-AA5A0C0FDC66}" name="Supplier" dataDxfId="30"/>
    <tableColumn id="2" xr3:uid="{2C5E8B2E-3E58-4E01-B5EC-16476965A2B7}" name="Contact Person" dataDxfId="29"/>
    <tableColumn id="3" xr3:uid="{B14700E7-B81D-48AF-A912-079713FE97E1}" name="City" dataDxfId="28"/>
    <tableColumn id="4" xr3:uid="{1F6EEBCA-690D-4244-A4B4-7C65D3EA1540}" name="Lead Time Days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0E4916-3548-4DF4-B89A-10AFE3900AEB}" name="Table4" displayName="Table4" ref="A1:C2" totalsRowShown="0">
  <autoFilter ref="A1:C2" xr:uid="{630E4916-3548-4DF4-B89A-10AFE3900AEB}"/>
  <tableColumns count="3">
    <tableColumn id="1" xr3:uid="{18518FF5-5A20-4FC5-92A4-1115BAE726BD}" name="Total Ordered Quantity">
      <calculatedColumnFormula>SUM(tblOrders[Quantity Ordered])</calculatedColumnFormula>
    </tableColumn>
    <tableColumn id="2" xr3:uid="{AA1ED486-36BA-4BC8-8A44-7CF0A78E52EC}" name="Average Inventory">
      <calculatedColumnFormula>AVERAGE(tblInventory[Current Stock])</calculatedColumnFormula>
    </tableColumn>
    <tableColumn id="3" xr3:uid="{C6C30D22-A416-48F7-BA9D-845AEF94B3EC}" name="Inventory Turnover">
      <calculatedColumnFormula>A2/B2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6985-1B41-4378-81F6-F87F7B5FE627}">
  <dimension ref="A1:M11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9.5703125" customWidth="1"/>
    <col min="2" max="2" width="14.5703125" customWidth="1"/>
    <col min="3" max="4" width="11.28515625" customWidth="1"/>
    <col min="5" max="5" width="8.7109375" customWidth="1"/>
    <col min="6" max="6" width="9.7109375" customWidth="1"/>
    <col min="7" max="7" width="8.42578125" customWidth="1"/>
    <col min="8" max="8" width="13.140625" customWidth="1"/>
    <col min="9" max="9" width="9.5703125" customWidth="1"/>
    <col min="10" max="10" width="9.85546875" customWidth="1"/>
    <col min="11" max="11" width="10.42578125" customWidth="1"/>
    <col min="13" max="13" width="14.85546875" customWidth="1"/>
  </cols>
  <sheetData>
    <row r="1" spans="1:13" ht="30.75" customHeight="1" x14ac:dyDescent="0.25">
      <c r="A1" s="4" t="s">
        <v>52</v>
      </c>
      <c r="B1" s="4" t="s">
        <v>0</v>
      </c>
      <c r="C1" s="4" t="s">
        <v>1</v>
      </c>
      <c r="D1" s="4" t="s">
        <v>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66</v>
      </c>
      <c r="L1" s="4" t="s">
        <v>67</v>
      </c>
      <c r="M1" s="4" t="s">
        <v>70</v>
      </c>
    </row>
    <row r="2" spans="1:13" x14ac:dyDescent="0.25">
      <c r="A2" s="1" t="s">
        <v>3</v>
      </c>
      <c r="B2" s="1" t="s">
        <v>4</v>
      </c>
      <c r="C2" s="1" t="s">
        <v>5</v>
      </c>
      <c r="D2" s="1" t="s">
        <v>6</v>
      </c>
      <c r="E2" s="1">
        <v>120</v>
      </c>
      <c r="F2" s="1">
        <v>50</v>
      </c>
      <c r="G2" s="1">
        <v>20</v>
      </c>
      <c r="H2" s="8">
        <v>46023</v>
      </c>
      <c r="I2" s="9">
        <f>tblInventory[[#This Row],[Current Stock]]*tblInventory[[#This Row],[Unit Cost]]</f>
        <v>2400</v>
      </c>
      <c r="J2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Normal</v>
      </c>
      <c r="K2" s="1">
        <v>8</v>
      </c>
      <c r="L2" s="1">
        <f>_xlfn.XLOOKUP(tblInventory[[#This Row],[Supplier]],tblSuppliers[Supplier],tblSuppliers[Lead Time Days])</f>
        <v>5</v>
      </c>
      <c r="M2" s="10">
        <f>tblInventory[[#This Row],[Avg Daily Sales]]*tblInventory[[#This Row],[Lead Time]]</f>
        <v>40</v>
      </c>
    </row>
    <row r="3" spans="1:13" x14ac:dyDescent="0.25">
      <c r="A3" s="1" t="s">
        <v>7</v>
      </c>
      <c r="B3" s="1" t="s">
        <v>8</v>
      </c>
      <c r="C3" s="1" t="s">
        <v>5</v>
      </c>
      <c r="D3" s="1" t="s">
        <v>6</v>
      </c>
      <c r="E3" s="1">
        <v>30</v>
      </c>
      <c r="F3" s="1">
        <v>40</v>
      </c>
      <c r="G3" s="1">
        <v>10</v>
      </c>
      <c r="H3" s="8">
        <v>46032</v>
      </c>
      <c r="I3" s="1">
        <f>tblInventory[[#This Row],[Current Stock]]*tblInventory[[#This Row],[Unit Cost]]</f>
        <v>300</v>
      </c>
      <c r="J3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Low Stock</v>
      </c>
      <c r="K3" s="1">
        <v>5</v>
      </c>
      <c r="L3" s="1">
        <f>_xlfn.XLOOKUP(tblInventory[[#This Row],[Supplier]],tblSuppliers[Supplier],tblSuppliers[Lead Time Days])</f>
        <v>5</v>
      </c>
      <c r="M3" s="10">
        <f>tblInventory[[#This Row],[Avg Daily Sales]]*tblInventory[[#This Row],[Lead Time]]</f>
        <v>25</v>
      </c>
    </row>
    <row r="4" spans="1:13" x14ac:dyDescent="0.25">
      <c r="A4" s="1" t="s">
        <v>9</v>
      </c>
      <c r="B4" s="1" t="s">
        <v>10</v>
      </c>
      <c r="C4" s="1" t="s">
        <v>11</v>
      </c>
      <c r="D4" s="1" t="s">
        <v>12</v>
      </c>
      <c r="E4" s="1">
        <v>15</v>
      </c>
      <c r="F4" s="1">
        <v>20</v>
      </c>
      <c r="G4" s="1">
        <v>80</v>
      </c>
      <c r="H4" s="8">
        <v>46037</v>
      </c>
      <c r="I4" s="1">
        <f>tblInventory[[#This Row],[Current Stock]]*tblInventory[[#This Row],[Unit Cost]]</f>
        <v>1200</v>
      </c>
      <c r="J4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Low Stock</v>
      </c>
      <c r="K4" s="1">
        <v>2</v>
      </c>
      <c r="L4" s="1">
        <f>_xlfn.XLOOKUP(tblInventory[[#This Row],[Supplier]],tblSuppliers[Supplier],tblSuppliers[Lead Time Days])</f>
        <v>7</v>
      </c>
      <c r="M4" s="10">
        <f>tblInventory[[#This Row],[Avg Daily Sales]]*tblInventory[[#This Row],[Lead Time]]</f>
        <v>14</v>
      </c>
    </row>
    <row r="5" spans="1:13" x14ac:dyDescent="0.25">
      <c r="A5" s="1" t="s">
        <v>13</v>
      </c>
      <c r="B5" s="1" t="s">
        <v>14</v>
      </c>
      <c r="C5" s="1" t="s">
        <v>11</v>
      </c>
      <c r="D5" s="1" t="s">
        <v>12</v>
      </c>
      <c r="E5" s="1">
        <v>60</v>
      </c>
      <c r="F5" s="1">
        <v>25</v>
      </c>
      <c r="G5" s="1">
        <v>120</v>
      </c>
      <c r="H5" s="8">
        <v>46040</v>
      </c>
      <c r="I5" s="1">
        <f>tblInventory[[#This Row],[Current Stock]]*tblInventory[[#This Row],[Unit Cost]]</f>
        <v>7200</v>
      </c>
      <c r="J5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Normal</v>
      </c>
      <c r="K5" s="1">
        <v>3</v>
      </c>
      <c r="L5" s="1">
        <f>_xlfn.XLOOKUP(tblInventory[[#This Row],[Supplier]],tblSuppliers[Supplier],tblSuppliers[Lead Time Days])</f>
        <v>7</v>
      </c>
      <c r="M5" s="10">
        <f>tblInventory[[#This Row],[Avg Daily Sales]]*tblInventory[[#This Row],[Lead Time]]</f>
        <v>21</v>
      </c>
    </row>
    <row r="6" spans="1:13" ht="18" customHeight="1" x14ac:dyDescent="0.25">
      <c r="A6" s="1" t="s">
        <v>15</v>
      </c>
      <c r="B6" s="1" t="s">
        <v>16</v>
      </c>
      <c r="C6" s="1" t="s">
        <v>17</v>
      </c>
      <c r="D6" s="1" t="s">
        <v>18</v>
      </c>
      <c r="E6" s="1">
        <v>300</v>
      </c>
      <c r="F6" s="1">
        <v>100</v>
      </c>
      <c r="G6" s="1">
        <v>2</v>
      </c>
      <c r="H6" s="8">
        <v>46042</v>
      </c>
      <c r="I6" s="1">
        <f>tblInventory[[#This Row],[Current Stock]]*tblInventory[[#This Row],[Unit Cost]]</f>
        <v>600</v>
      </c>
      <c r="J6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Normal</v>
      </c>
      <c r="K6" s="1">
        <v>20</v>
      </c>
      <c r="L6" s="1">
        <f>_xlfn.XLOOKUP(tblInventory[[#This Row],[Supplier]],tblSuppliers[Supplier],tblSuppliers[Lead Time Days])</f>
        <v>4</v>
      </c>
      <c r="M6" s="10">
        <f>tblInventory[[#This Row],[Avg Daily Sales]]*tblInventory[[#This Row],[Lead Time]]</f>
        <v>80</v>
      </c>
    </row>
    <row r="7" spans="1:13" x14ac:dyDescent="0.25">
      <c r="A7" s="1" t="s">
        <v>19</v>
      </c>
      <c r="B7" s="1" t="s">
        <v>20</v>
      </c>
      <c r="C7" s="1" t="s">
        <v>5</v>
      </c>
      <c r="D7" s="1" t="s">
        <v>21</v>
      </c>
      <c r="E7" s="1">
        <v>8</v>
      </c>
      <c r="F7" s="1">
        <v>10</v>
      </c>
      <c r="G7" s="1">
        <v>150</v>
      </c>
      <c r="H7" s="8">
        <v>46047</v>
      </c>
      <c r="I7" s="1">
        <f>tblInventory[[#This Row],[Current Stock]]*tblInventory[[#This Row],[Unit Cost]]</f>
        <v>1200</v>
      </c>
      <c r="J7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Low Stock</v>
      </c>
      <c r="K7" s="1">
        <v>1</v>
      </c>
      <c r="L7" s="1">
        <f>_xlfn.XLOOKUP(tblInventory[[#This Row],[Supplier]],tblSuppliers[Supplier],tblSuppliers[Lead Time Days])</f>
        <v>6</v>
      </c>
      <c r="M7" s="10">
        <f>tblInventory[[#This Row],[Avg Daily Sales]]*tblInventory[[#This Row],[Lead Time]]</f>
        <v>6</v>
      </c>
    </row>
    <row r="8" spans="1:13" ht="15" customHeight="1" x14ac:dyDescent="0.25">
      <c r="A8" s="1" t="s">
        <v>22</v>
      </c>
      <c r="B8" s="1" t="s">
        <v>23</v>
      </c>
      <c r="C8" s="1" t="s">
        <v>17</v>
      </c>
      <c r="D8" s="1" t="s">
        <v>18</v>
      </c>
      <c r="E8" s="1">
        <v>500</v>
      </c>
      <c r="F8" s="1">
        <v>150</v>
      </c>
      <c r="G8" s="1">
        <v>5</v>
      </c>
      <c r="H8" s="8">
        <v>46050</v>
      </c>
      <c r="I8" s="1">
        <f>tblInventory[[#This Row],[Current Stock]]*tblInventory[[#This Row],[Unit Cost]]</f>
        <v>2500</v>
      </c>
      <c r="J8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Overstock</v>
      </c>
      <c r="K8" s="1">
        <v>25</v>
      </c>
      <c r="L8" s="1">
        <f>_xlfn.XLOOKUP(tblInventory[[#This Row],[Supplier]],tblSuppliers[Supplier],tblSuppliers[Lead Time Days])</f>
        <v>4</v>
      </c>
      <c r="M8" s="10">
        <f>tblInventory[[#This Row],[Avg Daily Sales]]*tblInventory[[#This Row],[Lead Time]]</f>
        <v>100</v>
      </c>
    </row>
    <row r="9" spans="1:13" x14ac:dyDescent="0.25">
      <c r="A9" s="1" t="s">
        <v>24</v>
      </c>
      <c r="B9" s="1" t="s">
        <v>25</v>
      </c>
      <c r="C9" s="1" t="s">
        <v>5</v>
      </c>
      <c r="D9" s="1" t="s">
        <v>26</v>
      </c>
      <c r="E9" s="1">
        <v>22</v>
      </c>
      <c r="F9" s="1">
        <v>15</v>
      </c>
      <c r="G9" s="1">
        <v>180</v>
      </c>
      <c r="H9" s="8">
        <v>46055</v>
      </c>
      <c r="I9" s="1">
        <f>tblInventory[[#This Row],[Current Stock]]*tblInventory[[#This Row],[Unit Cost]]</f>
        <v>3960</v>
      </c>
      <c r="J9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Normal</v>
      </c>
      <c r="K9" s="1">
        <v>2</v>
      </c>
      <c r="L9" s="1">
        <f>_xlfn.XLOOKUP(tblInventory[[#This Row],[Supplier]],tblSuppliers[Supplier],tblSuppliers[Lead Time Days])</f>
        <v>5</v>
      </c>
      <c r="M9" s="10">
        <f>tblInventory[[#This Row],[Avg Daily Sales]]*tblInventory[[#This Row],[Lead Time]]</f>
        <v>10</v>
      </c>
    </row>
    <row r="10" spans="1:13" ht="15.75" customHeight="1" x14ac:dyDescent="0.25">
      <c r="A10" s="1" t="s">
        <v>27</v>
      </c>
      <c r="B10" s="1" t="s">
        <v>28</v>
      </c>
      <c r="C10" s="1" t="s">
        <v>11</v>
      </c>
      <c r="D10" s="1" t="s">
        <v>12</v>
      </c>
      <c r="E10" s="1">
        <v>5</v>
      </c>
      <c r="F10" s="1">
        <v>10</v>
      </c>
      <c r="G10" s="1">
        <v>200</v>
      </c>
      <c r="H10" s="8">
        <v>46057</v>
      </c>
      <c r="I10" s="1">
        <f>tblInventory[[#This Row],[Current Stock]]*tblInventory[[#This Row],[Unit Cost]]</f>
        <v>1000</v>
      </c>
      <c r="J10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Low Stock</v>
      </c>
      <c r="K10" s="1">
        <v>1</v>
      </c>
      <c r="L10" s="1">
        <f>_xlfn.XLOOKUP(tblInventory[[#This Row],[Supplier]],tblSuppliers[Supplier],tblSuppliers[Lead Time Days])</f>
        <v>7</v>
      </c>
      <c r="M10" s="10">
        <f>tblInventory[[#This Row],[Avg Daily Sales]]*tblInventory[[#This Row],[Lead Time]]</f>
        <v>7</v>
      </c>
    </row>
    <row r="11" spans="1:13" ht="15.75" customHeight="1" x14ac:dyDescent="0.25">
      <c r="A11" s="1" t="s">
        <v>29</v>
      </c>
      <c r="B11" s="1" t="s">
        <v>30</v>
      </c>
      <c r="C11" s="1" t="s">
        <v>17</v>
      </c>
      <c r="D11" s="1" t="s">
        <v>18</v>
      </c>
      <c r="E11" s="1">
        <v>40</v>
      </c>
      <c r="F11" s="1">
        <v>60</v>
      </c>
      <c r="G11" s="1">
        <v>3</v>
      </c>
      <c r="H11" s="8">
        <v>46059</v>
      </c>
      <c r="I11" s="1">
        <f>tblInventory[[#This Row],[Current Stock]]*tblInventory[[#This Row],[Unit Cost]]</f>
        <v>120</v>
      </c>
      <c r="J11" s="1" t="str">
        <f>IF(tblInventory[[#This Row],[Current Stock]]=0,"Stock-Out",
IF(tblInventory[[#This Row],[Current Stock]]&lt;tblInventory[[#This Row],[Reorder Level]],"Low Stock",
IF(tblInventory[[#This Row],[Current Stock]]&gt;tblInventory[[#This Row],[Reorder Level]]*3,"Overstock","Normal")))</f>
        <v>Low Stock</v>
      </c>
      <c r="K11" s="1">
        <v>6</v>
      </c>
      <c r="L11" s="1">
        <f>_xlfn.XLOOKUP(tblInventory[[#This Row],[Supplier]],tblSuppliers[Supplier],tblSuppliers[Lead Time Days])</f>
        <v>4</v>
      </c>
      <c r="M11" s="10">
        <f>tblInventory[[#This Row],[Avg Daily Sales]]*tblInventory[[#This Row],[Lead Time]]</f>
        <v>24</v>
      </c>
    </row>
  </sheetData>
  <conditionalFormatting sqref="J1:J1048576">
    <cfRule type="containsText" dxfId="4" priority="1" operator="containsText" text="Overstock">
      <formula>NOT(ISERROR(SEARCH("Overstock",J1)))</formula>
    </cfRule>
    <cfRule type="containsText" dxfId="3" priority="2" operator="containsText" text="Low Stock">
      <formula>NOT(ISERROR(SEARCH("Low Stock",J1)))</formula>
    </cfRule>
    <cfRule type="containsText" dxfId="2" priority="3" operator="containsText" text="Normal">
      <formula>NOT(ISERROR(SEARCH("Normal",J1)))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BB62-2387-42D3-AC04-3257F6C664A9}">
  <dimension ref="A1:I11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4.42578125" customWidth="1"/>
    <col min="2" max="3" width="16.5703125" customWidth="1"/>
    <col min="4" max="4" width="15.7109375" customWidth="1"/>
    <col min="5" max="5" width="22.5703125" customWidth="1"/>
    <col min="6" max="6" width="20.85546875" customWidth="1"/>
    <col min="7" max="7" width="21.28515625" customWidth="1"/>
    <col min="8" max="8" width="13.5703125" style="7" customWidth="1"/>
    <col min="9" max="9" width="17.5703125" customWidth="1"/>
  </cols>
  <sheetData>
    <row r="1" spans="1:9" ht="20.25" customHeight="1" x14ac:dyDescent="0.25">
      <c r="A1" s="4" t="s">
        <v>61</v>
      </c>
      <c r="B1" s="4" t="s">
        <v>52</v>
      </c>
      <c r="C1" s="4" t="s">
        <v>2</v>
      </c>
      <c r="D1" s="4" t="s">
        <v>60</v>
      </c>
      <c r="E1" s="4" t="s">
        <v>59</v>
      </c>
      <c r="F1" s="4" t="s">
        <v>62</v>
      </c>
      <c r="G1" s="4" t="s">
        <v>63</v>
      </c>
      <c r="H1" s="5" t="s">
        <v>64</v>
      </c>
      <c r="I1" s="4" t="s">
        <v>65</v>
      </c>
    </row>
    <row r="2" spans="1:9" x14ac:dyDescent="0.25">
      <c r="A2" s="2" t="s">
        <v>31</v>
      </c>
      <c r="B2" s="2" t="s">
        <v>3</v>
      </c>
      <c r="C2" s="2" t="str">
        <f>_xlfn.XLOOKUP(tblOrders[[#This Row],[Product ID]],tblInventory[Product ID],tblInventory[Supplier])</f>
        <v>TechSource</v>
      </c>
      <c r="D2" s="3">
        <v>46023</v>
      </c>
      <c r="E2" s="3">
        <v>46027</v>
      </c>
      <c r="F2" s="3">
        <v>46028</v>
      </c>
      <c r="G2" s="2">
        <v>100</v>
      </c>
      <c r="H2" s="6">
        <f>tblOrders[[#This Row],[Actual Delivery]]-tblOrders[[#This Row],[Expected Delivery]]</f>
        <v>1</v>
      </c>
      <c r="I2" s="3" t="str">
        <f>IF(tblOrders[[#This Row],[Delay Days]]&gt;0,"Delayed","On Time")</f>
        <v>Delayed</v>
      </c>
    </row>
    <row r="3" spans="1:9" x14ac:dyDescent="0.25">
      <c r="A3" s="2" t="s">
        <v>32</v>
      </c>
      <c r="B3" s="2" t="s">
        <v>7</v>
      </c>
      <c r="C3" s="2" t="str">
        <f>_xlfn.XLOOKUP(tblOrders[[#This Row],[Product ID]],tblInventory[Product ID],tblInventory[Supplier])</f>
        <v>TechSource</v>
      </c>
      <c r="D3" s="3">
        <v>46025</v>
      </c>
      <c r="E3" s="3">
        <v>46030</v>
      </c>
      <c r="F3" s="3">
        <v>46029</v>
      </c>
      <c r="G3" s="2">
        <v>80</v>
      </c>
      <c r="H3" s="6">
        <f>tblOrders[[#This Row],[Actual Delivery]]-tblOrders[[#This Row],[Expected Delivery]]</f>
        <v>-1</v>
      </c>
      <c r="I3" s="3" t="str">
        <f>IF(tblOrders[[#This Row],[Delay Days]]&gt;0,"Delayed","On Time")</f>
        <v>On Time</v>
      </c>
    </row>
    <row r="4" spans="1:9" x14ac:dyDescent="0.25">
      <c r="A4" s="2" t="s">
        <v>33</v>
      </c>
      <c r="B4" s="2" t="s">
        <v>9</v>
      </c>
      <c r="C4" s="2" t="str">
        <f>_xlfn.XLOOKUP(tblOrders[[#This Row],[Product ID]],tblInventory[Product ID],tblInventory[Supplier])</f>
        <v>FurniHub</v>
      </c>
      <c r="D4" s="3">
        <v>46027</v>
      </c>
      <c r="E4" s="3">
        <v>46034</v>
      </c>
      <c r="F4" s="3">
        <v>46036</v>
      </c>
      <c r="G4" s="2">
        <v>25</v>
      </c>
      <c r="H4" s="6">
        <f>tblOrders[[#This Row],[Actual Delivery]]-tblOrders[[#This Row],[Expected Delivery]]</f>
        <v>2</v>
      </c>
      <c r="I4" s="3" t="str">
        <f>IF(tblOrders[[#This Row],[Delay Days]]&gt;0,"Delayed","On Time")</f>
        <v>Delayed</v>
      </c>
    </row>
    <row r="5" spans="1:9" x14ac:dyDescent="0.25">
      <c r="A5" s="2" t="s">
        <v>34</v>
      </c>
      <c r="B5" s="2" t="s">
        <v>13</v>
      </c>
      <c r="C5" s="2" t="str">
        <f>_xlfn.XLOOKUP(tblOrders[[#This Row],[Product ID]],tblInventory[Product ID],tblInventory[Supplier])</f>
        <v>FurniHub</v>
      </c>
      <c r="D5" s="3">
        <v>46030</v>
      </c>
      <c r="E5" s="3">
        <v>46036</v>
      </c>
      <c r="F5" s="3">
        <v>46036</v>
      </c>
      <c r="G5" s="2">
        <v>40</v>
      </c>
      <c r="H5" s="6">
        <f>tblOrders[[#This Row],[Actual Delivery]]-tblOrders[[#This Row],[Expected Delivery]]</f>
        <v>0</v>
      </c>
      <c r="I5" s="3" t="str">
        <f>IF(tblOrders[[#This Row],[Delay Days]]&gt;0,"Delayed","On Time")</f>
        <v>On Time</v>
      </c>
    </row>
    <row r="6" spans="1:9" x14ac:dyDescent="0.25">
      <c r="A6" s="2" t="s">
        <v>35</v>
      </c>
      <c r="B6" s="2" t="s">
        <v>15</v>
      </c>
      <c r="C6" s="2" t="str">
        <f>_xlfn.XLOOKUP(tblOrders[[#This Row],[Product ID]],tblInventory[Product ID],tblInventory[Supplier])</f>
        <v>PaperWorld</v>
      </c>
      <c r="D6" s="3">
        <v>46032</v>
      </c>
      <c r="E6" s="3">
        <v>46037</v>
      </c>
      <c r="F6" s="3">
        <v>46038</v>
      </c>
      <c r="G6" s="2">
        <v>500</v>
      </c>
      <c r="H6" s="6">
        <f>tblOrders[[#This Row],[Actual Delivery]]-tblOrders[[#This Row],[Expected Delivery]]</f>
        <v>1</v>
      </c>
      <c r="I6" s="3" t="str">
        <f>IF(tblOrders[[#This Row],[Delay Days]]&gt;0,"Delayed","On Time")</f>
        <v>Delayed</v>
      </c>
    </row>
    <row r="7" spans="1:9" x14ac:dyDescent="0.25">
      <c r="A7" s="2" t="s">
        <v>36</v>
      </c>
      <c r="B7" s="2" t="s">
        <v>19</v>
      </c>
      <c r="C7" s="2" t="str">
        <f>_xlfn.XLOOKUP(tblOrders[[#This Row],[Product ID]],tblInventory[Product ID],tblInventory[Supplier])</f>
        <v>PrintMax</v>
      </c>
      <c r="D7" s="3">
        <v>46034</v>
      </c>
      <c r="E7" s="3">
        <v>46040</v>
      </c>
      <c r="F7" s="3">
        <v>46044</v>
      </c>
      <c r="G7" s="2">
        <v>10</v>
      </c>
      <c r="H7" s="6">
        <f>tblOrders[[#This Row],[Actual Delivery]]-tblOrders[[#This Row],[Expected Delivery]]</f>
        <v>4</v>
      </c>
      <c r="I7" s="3" t="str">
        <f>IF(tblOrders[[#This Row],[Delay Days]]&gt;0,"Delayed","On Time")</f>
        <v>Delayed</v>
      </c>
    </row>
    <row r="8" spans="1:9" x14ac:dyDescent="0.25">
      <c r="A8" s="2" t="s">
        <v>37</v>
      </c>
      <c r="B8" s="2" t="s">
        <v>22</v>
      </c>
      <c r="C8" s="2" t="str">
        <f>_xlfn.XLOOKUP(tblOrders[[#This Row],[Product ID]],tblInventory[Product ID],tblInventory[Supplier])</f>
        <v>PaperWorld</v>
      </c>
      <c r="D8" s="3">
        <v>46036</v>
      </c>
      <c r="E8" s="3">
        <v>46042</v>
      </c>
      <c r="F8" s="3">
        <v>46041</v>
      </c>
      <c r="G8" s="2">
        <v>300</v>
      </c>
      <c r="H8" s="6">
        <f>tblOrders[[#This Row],[Actual Delivery]]-tblOrders[[#This Row],[Expected Delivery]]</f>
        <v>-1</v>
      </c>
      <c r="I8" s="3" t="str">
        <f>IF(tblOrders[[#This Row],[Delay Days]]&gt;0,"Delayed","On Time")</f>
        <v>On Time</v>
      </c>
    </row>
    <row r="9" spans="1:9" x14ac:dyDescent="0.25">
      <c r="A9" s="2" t="s">
        <v>38</v>
      </c>
      <c r="B9" s="2" t="s">
        <v>24</v>
      </c>
      <c r="C9" s="2" t="str">
        <f>_xlfn.XLOOKUP(tblOrders[[#This Row],[Product ID]],tblInventory[Product ID],tblInventory[Supplier])</f>
        <v>VisionTech</v>
      </c>
      <c r="D9" s="3">
        <v>46040</v>
      </c>
      <c r="E9" s="3">
        <v>46047</v>
      </c>
      <c r="F9" s="3">
        <v>46050</v>
      </c>
      <c r="G9" s="2">
        <v>20</v>
      </c>
      <c r="H9" s="6">
        <f>tblOrders[[#This Row],[Actual Delivery]]-tblOrders[[#This Row],[Expected Delivery]]</f>
        <v>3</v>
      </c>
      <c r="I9" s="3" t="str">
        <f>IF(tblOrders[[#This Row],[Delay Days]]&gt;0,"Delayed","On Time")</f>
        <v>Delayed</v>
      </c>
    </row>
    <row r="10" spans="1:9" x14ac:dyDescent="0.25">
      <c r="A10" s="2" t="s">
        <v>39</v>
      </c>
      <c r="B10" s="2" t="s">
        <v>27</v>
      </c>
      <c r="C10" s="2" t="str">
        <f>_xlfn.XLOOKUP(tblOrders[[#This Row],[Product ID]],tblInventory[Product ID],tblInventory[Supplier])</f>
        <v>FurniHub</v>
      </c>
      <c r="D10" s="3">
        <v>46042</v>
      </c>
      <c r="E10" s="3">
        <v>46049</v>
      </c>
      <c r="F10" s="3">
        <v>46052</v>
      </c>
      <c r="G10" s="2">
        <v>8</v>
      </c>
      <c r="H10" s="6">
        <f>tblOrders[[#This Row],[Actual Delivery]]-tblOrders[[#This Row],[Expected Delivery]]</f>
        <v>3</v>
      </c>
      <c r="I10" s="3" t="str">
        <f>IF(tblOrders[[#This Row],[Delay Days]]&gt;0,"Delayed","On Time")</f>
        <v>Delayed</v>
      </c>
    </row>
    <row r="11" spans="1:9" x14ac:dyDescent="0.25">
      <c r="A11" s="2" t="s">
        <v>40</v>
      </c>
      <c r="B11" s="2" t="s">
        <v>29</v>
      </c>
      <c r="C11" s="2" t="str">
        <f>_xlfn.XLOOKUP(tblOrders[[#This Row],[Product ID]],tblInventory[Product ID],tblInventory[Supplier])</f>
        <v>PaperWorld</v>
      </c>
      <c r="D11" s="3">
        <v>46047</v>
      </c>
      <c r="E11" s="3">
        <v>46052</v>
      </c>
      <c r="F11" s="3">
        <v>46055</v>
      </c>
      <c r="G11" s="2">
        <v>100</v>
      </c>
      <c r="H11" s="6">
        <f>tblOrders[[#This Row],[Actual Delivery]]-tblOrders[[#This Row],[Expected Delivery]]</f>
        <v>3</v>
      </c>
      <c r="I11" s="3" t="str">
        <f>IF(tblOrders[[#This Row],[Delay Days]]&gt;0,"Delayed","On Time")</f>
        <v>Delayed</v>
      </c>
    </row>
  </sheetData>
  <conditionalFormatting sqref="I1:I1048576">
    <cfRule type="containsText" dxfId="1" priority="1" operator="containsText" text="On Time">
      <formula>NOT(ISERROR(SEARCH("On Time",I1)))</formula>
    </cfRule>
    <cfRule type="containsText" dxfId="0" priority="2" operator="containsText" text="Delayed">
      <formula>NOT(ISERROR(SEARCH("Delayed",I1)))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08EE-1C0B-4AAC-B6BB-3F53CDB22C2E}">
  <dimension ref="A1:D6"/>
  <sheetViews>
    <sheetView workbookViewId="0">
      <selection activeCell="E16" sqref="E16"/>
    </sheetView>
  </sheetViews>
  <sheetFormatPr defaultRowHeight="15" x14ac:dyDescent="0.25"/>
  <cols>
    <col min="1" max="1" width="13.42578125" customWidth="1"/>
    <col min="2" max="2" width="19" customWidth="1"/>
    <col min="3" max="3" width="10.5703125" customWidth="1"/>
    <col min="4" max="4" width="20" customWidth="1"/>
  </cols>
  <sheetData>
    <row r="1" spans="1:4" x14ac:dyDescent="0.25">
      <c r="A1" s="4" t="s">
        <v>2</v>
      </c>
      <c r="B1" s="4" t="s">
        <v>69</v>
      </c>
      <c r="C1" s="4" t="s">
        <v>41</v>
      </c>
      <c r="D1" s="4" t="s">
        <v>68</v>
      </c>
    </row>
    <row r="2" spans="1:4" x14ac:dyDescent="0.25">
      <c r="A2" s="2" t="s">
        <v>6</v>
      </c>
      <c r="B2" s="2" t="s">
        <v>42</v>
      </c>
      <c r="C2" s="2" t="s">
        <v>43</v>
      </c>
      <c r="D2" s="2">
        <v>5</v>
      </c>
    </row>
    <row r="3" spans="1:4" x14ac:dyDescent="0.25">
      <c r="A3" s="2" t="s">
        <v>12</v>
      </c>
      <c r="B3" s="2" t="s">
        <v>44</v>
      </c>
      <c r="C3" s="2" t="s">
        <v>45</v>
      </c>
      <c r="D3" s="2">
        <v>7</v>
      </c>
    </row>
    <row r="4" spans="1:4" x14ac:dyDescent="0.25">
      <c r="A4" s="2" t="s">
        <v>18</v>
      </c>
      <c r="B4" s="2" t="s">
        <v>46</v>
      </c>
      <c r="C4" s="2" t="s">
        <v>47</v>
      </c>
      <c r="D4" s="2">
        <v>4</v>
      </c>
    </row>
    <row r="5" spans="1:4" x14ac:dyDescent="0.25">
      <c r="A5" s="2" t="s">
        <v>21</v>
      </c>
      <c r="B5" s="2" t="s">
        <v>48</v>
      </c>
      <c r="C5" s="2" t="s">
        <v>49</v>
      </c>
      <c r="D5" s="2">
        <v>6</v>
      </c>
    </row>
    <row r="6" spans="1:4" x14ac:dyDescent="0.25">
      <c r="A6" s="2" t="s">
        <v>26</v>
      </c>
      <c r="B6" s="2" t="s">
        <v>50</v>
      </c>
      <c r="C6" s="2" t="s">
        <v>51</v>
      </c>
      <c r="D6" s="2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56A7-53B6-4565-A880-CE87AD8EE0C5}">
  <dimension ref="A1:C2"/>
  <sheetViews>
    <sheetView workbookViewId="0">
      <selection activeCell="D17" sqref="D17"/>
    </sheetView>
  </sheetViews>
  <sheetFormatPr defaultRowHeight="15" x14ac:dyDescent="0.25"/>
  <cols>
    <col min="1" max="1" width="30.85546875" customWidth="1"/>
    <col min="2" max="2" width="23.7109375" customWidth="1"/>
    <col min="3" max="3" width="24.28515625" customWidth="1"/>
  </cols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f>SUM(tblOrders[Quantity Ordered])</f>
        <v>1183</v>
      </c>
      <c r="B2">
        <f>AVERAGE(tblInventory[Current Stock])</f>
        <v>110</v>
      </c>
      <c r="C2">
        <f>A2/B2</f>
        <v>10.754545454545454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246F-3167-49B0-AD90-6A09BC48A580}">
  <dimension ref="F1:P2"/>
  <sheetViews>
    <sheetView showGridLines="0" workbookViewId="0">
      <selection activeCell="P4" sqref="P4"/>
    </sheetView>
  </sheetViews>
  <sheetFormatPr defaultRowHeight="15" x14ac:dyDescent="0.25"/>
  <sheetData>
    <row r="1" spans="6:16" ht="15.75" x14ac:dyDescent="0.25">
      <c r="F1" s="19" t="s">
        <v>89</v>
      </c>
      <c r="G1" s="19"/>
      <c r="H1" s="19"/>
      <c r="I1" s="20" t="s">
        <v>90</v>
      </c>
      <c r="J1" s="20"/>
      <c r="K1" s="21" t="s">
        <v>91</v>
      </c>
      <c r="L1" s="21"/>
      <c r="M1" s="22" t="s">
        <v>92</v>
      </c>
      <c r="N1" s="22"/>
      <c r="O1" s="23" t="s">
        <v>93</v>
      </c>
      <c r="P1" s="23"/>
    </row>
    <row r="2" spans="6:16" ht="15.75" x14ac:dyDescent="0.25">
      <c r="F2" s="19">
        <f>SUM(tblInventory[Inventory Value])</f>
        <v>20480</v>
      </c>
      <c r="G2" s="19"/>
      <c r="H2" s="19"/>
      <c r="I2" s="20">
        <f>COUNTA(tblInventory[Product ID])</f>
        <v>10</v>
      </c>
      <c r="J2" s="20"/>
      <c r="K2" s="21">
        <f>COUNTIF(tblInventory[Stock Status],"Low Stock")</f>
        <v>5</v>
      </c>
      <c r="L2" s="21"/>
      <c r="M2" s="22">
        <f>COUNTIF(tblInventory[Stock Status],"Overstock")</f>
        <v>1</v>
      </c>
      <c r="N2" s="22"/>
      <c r="O2" s="23">
        <f>COUNTIF(tblOrders[Delivery Status],"Delayed")</f>
        <v>7</v>
      </c>
      <c r="P2" s="23"/>
    </row>
  </sheetData>
  <mergeCells count="10">
    <mergeCell ref="M1:N1"/>
    <mergeCell ref="M2:N2"/>
    <mergeCell ref="O1:P1"/>
    <mergeCell ref="O2:P2"/>
    <mergeCell ref="F1:H1"/>
    <mergeCell ref="I1:J1"/>
    <mergeCell ref="F2:H2"/>
    <mergeCell ref="I2:J2"/>
    <mergeCell ref="K1:L1"/>
    <mergeCell ref="K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EA17-45CA-46CC-9CBB-845EDBE39692}">
  <dimension ref="A1:L9"/>
  <sheetViews>
    <sheetView tabSelected="1" workbookViewId="0">
      <selection activeCell="I12" sqref="I12"/>
    </sheetView>
  </sheetViews>
  <sheetFormatPr defaultRowHeight="15" x14ac:dyDescent="0.25"/>
  <cols>
    <col min="1" max="1" width="13.140625" bestFit="1" customWidth="1"/>
    <col min="2" max="2" width="22.140625" bestFit="1" customWidth="1"/>
    <col min="3" max="3" width="19.7109375" bestFit="1" customWidth="1"/>
    <col min="4" max="4" width="3.140625" customWidth="1"/>
    <col min="5" max="5" width="13.140625" bestFit="1" customWidth="1"/>
    <col min="6" max="6" width="20.85546875" bestFit="1" customWidth="1"/>
    <col min="7" max="7" width="3.85546875" customWidth="1"/>
    <col min="8" max="8" width="14" customWidth="1"/>
    <col min="9" max="9" width="18.85546875" customWidth="1"/>
    <col min="10" max="10" width="9.5703125" customWidth="1"/>
    <col min="11" max="11" width="13.140625" bestFit="1" customWidth="1"/>
    <col min="12" max="12" width="23.5703125" bestFit="1" customWidth="1"/>
  </cols>
  <sheetData>
    <row r="1" spans="1:12" ht="23.25" x14ac:dyDescent="0.35">
      <c r="A1" s="14" t="s">
        <v>78</v>
      </c>
      <c r="B1" s="14"/>
      <c r="C1" s="14"/>
      <c r="E1" s="14" t="s">
        <v>79</v>
      </c>
      <c r="F1" s="14"/>
      <c r="G1" s="15"/>
      <c r="H1" s="14" t="s">
        <v>58</v>
      </c>
      <c r="I1" s="14"/>
      <c r="J1" s="16"/>
      <c r="K1" s="17" t="s">
        <v>85</v>
      </c>
      <c r="L1" s="17"/>
    </row>
    <row r="3" spans="1:12" x14ac:dyDescent="0.25">
      <c r="A3" s="11" t="s">
        <v>74</v>
      </c>
      <c r="B3" t="s">
        <v>77</v>
      </c>
      <c r="C3" t="s">
        <v>76</v>
      </c>
      <c r="E3" s="11" t="s">
        <v>74</v>
      </c>
      <c r="F3" t="s">
        <v>80</v>
      </c>
      <c r="H3" s="11" t="s">
        <v>74</v>
      </c>
      <c r="I3" t="s">
        <v>84</v>
      </c>
      <c r="K3" s="11" t="s">
        <v>74</v>
      </c>
      <c r="L3" t="s">
        <v>86</v>
      </c>
    </row>
    <row r="4" spans="1:12" x14ac:dyDescent="0.25">
      <c r="A4" s="12" t="s">
        <v>5</v>
      </c>
      <c r="B4" s="13">
        <v>7860</v>
      </c>
      <c r="C4" s="13">
        <v>180</v>
      </c>
      <c r="E4" s="12" t="s">
        <v>12</v>
      </c>
      <c r="F4" s="7">
        <v>1.6666666666666667</v>
      </c>
      <c r="H4" s="12" t="s">
        <v>81</v>
      </c>
      <c r="I4" s="13">
        <v>4</v>
      </c>
      <c r="K4" s="12" t="s">
        <v>87</v>
      </c>
      <c r="L4" s="13">
        <v>1183</v>
      </c>
    </row>
    <row r="5" spans="1:12" x14ac:dyDescent="0.25">
      <c r="A5" s="12" t="s">
        <v>11</v>
      </c>
      <c r="B5" s="13">
        <v>9400</v>
      </c>
      <c r="C5" s="13">
        <v>80</v>
      </c>
      <c r="E5" s="12" t="s">
        <v>18</v>
      </c>
      <c r="F5" s="7">
        <v>1</v>
      </c>
      <c r="H5" s="12" t="s">
        <v>82</v>
      </c>
      <c r="I5" s="13">
        <v>5</v>
      </c>
      <c r="K5" s="18" t="s">
        <v>88</v>
      </c>
      <c r="L5" s="13">
        <v>1183</v>
      </c>
    </row>
    <row r="6" spans="1:12" x14ac:dyDescent="0.25">
      <c r="A6" s="12" t="s">
        <v>17</v>
      </c>
      <c r="B6" s="13">
        <v>3220</v>
      </c>
      <c r="C6" s="13">
        <v>840</v>
      </c>
      <c r="E6" s="12" t="s">
        <v>21</v>
      </c>
      <c r="F6" s="7">
        <v>4</v>
      </c>
      <c r="H6" s="12" t="s">
        <v>83</v>
      </c>
      <c r="I6" s="13">
        <v>1</v>
      </c>
      <c r="K6" s="12" t="s">
        <v>75</v>
      </c>
      <c r="L6" s="13">
        <v>1183</v>
      </c>
    </row>
    <row r="7" spans="1:12" x14ac:dyDescent="0.25">
      <c r="A7" s="12" t="s">
        <v>75</v>
      </c>
      <c r="B7" s="13">
        <v>20480</v>
      </c>
      <c r="C7" s="13">
        <v>1100</v>
      </c>
      <c r="E7" s="12" t="s">
        <v>6</v>
      </c>
      <c r="F7" s="7">
        <v>0</v>
      </c>
      <c r="H7" s="12" t="s">
        <v>75</v>
      </c>
      <c r="I7" s="13">
        <v>10</v>
      </c>
    </row>
    <row r="8" spans="1:12" x14ac:dyDescent="0.25">
      <c r="E8" s="12" t="s">
        <v>26</v>
      </c>
      <c r="F8" s="7">
        <v>3</v>
      </c>
    </row>
    <row r="9" spans="1:12" x14ac:dyDescent="0.25">
      <c r="E9" s="12" t="s">
        <v>75</v>
      </c>
      <c r="F9" s="7">
        <v>1.5</v>
      </c>
    </row>
  </sheetData>
  <mergeCells count="4">
    <mergeCell ref="K1:L1"/>
    <mergeCell ref="A1:C1"/>
    <mergeCell ref="E1:F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Inventory_Data</vt:lpstr>
      <vt:lpstr>Orders_Data</vt:lpstr>
      <vt:lpstr>Suppliers</vt:lpstr>
      <vt:lpstr>Calculations</vt:lpstr>
      <vt:lpstr>Dashboard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Amit Sharma</cp:lastModifiedBy>
  <dcterms:created xsi:type="dcterms:W3CDTF">2026-05-08T05:56:15Z</dcterms:created>
  <dcterms:modified xsi:type="dcterms:W3CDTF">2026-05-08T08:17:36Z</dcterms:modified>
</cp:coreProperties>
</file>
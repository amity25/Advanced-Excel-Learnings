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D:\Hugo TTB\"/>
    </mc:Choice>
  </mc:AlternateContent>
  <xr:revisionPtr revIDLastSave="0" documentId="13_ncr:1_{8F3A508C-5428-4091-9EA4-649E9B32EC07}" xr6:coauthVersionLast="47" xr6:coauthVersionMax="47" xr10:uidLastSave="{00000000-0000-0000-0000-000000000000}"/>
  <bookViews>
    <workbookView xWindow="-120" yWindow="-120" windowWidth="20730" windowHeight="11280" activeTab="3" xr2:uid="{00000000-000D-0000-FFFF-FFFF00000000}"/>
  </bookViews>
  <sheets>
    <sheet name="Raw_Data" sheetId="1" r:id="rId1"/>
    <sheet name="Pivot_Tables" sheetId="3" r:id="rId2"/>
    <sheet name="Lists" sheetId="5" r:id="rId3"/>
    <sheet name="Dashboard" sheetId="4" r:id="rId4"/>
  </sheets>
  <definedNames>
    <definedName name="Slicer_Campaign_Name">#N/A</definedName>
    <definedName name="Slicer_Channel">#N/A</definedName>
    <definedName name="Slicer_Month">#N/A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5" l="1" a="1"/>
  <c r="A2" i="5" s="1"/>
  <c r="D11" i="4"/>
  <c r="E16" i="4"/>
  <c r="G7" i="4"/>
  <c r="F16" i="4"/>
  <c r="F17" i="4"/>
  <c r="F19" i="4"/>
  <c r="F7" i="4"/>
  <c r="D7" i="4"/>
  <c r="E17" i="4"/>
  <c r="E19" i="4"/>
  <c r="L7" i="4"/>
  <c r="P2" i="1"/>
  <c r="O2" i="1"/>
  <c r="N2" i="1"/>
  <c r="M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G16" i="4" l="1"/>
  <c r="I7" i="4"/>
  <c r="G19" i="4"/>
  <c r="G17" i="4"/>
  <c r="F18" i="4"/>
  <c r="E18" i="4"/>
  <c r="G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<sst xmlns="http://schemas.openxmlformats.org/spreadsheetml/2006/main" count="497" uniqueCount="171">
  <si>
    <t>Channel</t>
  </si>
  <si>
    <t>Region</t>
  </si>
  <si>
    <t>Impressions</t>
  </si>
  <si>
    <t>Clicks</t>
  </si>
  <si>
    <t>Leads</t>
  </si>
  <si>
    <t>Conversions</t>
  </si>
  <si>
    <t>Spend</t>
  </si>
  <si>
    <t>Revenue</t>
  </si>
  <si>
    <t>CTR</t>
  </si>
  <si>
    <t>C001</t>
  </si>
  <si>
    <t>Winter Offer</t>
  </si>
  <si>
    <t>Facebook Ads</t>
  </si>
  <si>
    <t>East</t>
  </si>
  <si>
    <t>C002</t>
  </si>
  <si>
    <t>Google Ads</t>
  </si>
  <si>
    <t>South</t>
  </si>
  <si>
    <t>C003</t>
  </si>
  <si>
    <t>Summer Sale</t>
  </si>
  <si>
    <t>West</t>
  </si>
  <si>
    <t>C004</t>
  </si>
  <si>
    <t>Product Launch</t>
  </si>
  <si>
    <t>Email Marketing</t>
  </si>
  <si>
    <t>C005</t>
  </si>
  <si>
    <t>Back to School</t>
  </si>
  <si>
    <t>Instagram</t>
  </si>
  <si>
    <t>C006</t>
  </si>
  <si>
    <t>North</t>
  </si>
  <si>
    <t>C007</t>
  </si>
  <si>
    <t>C008</t>
  </si>
  <si>
    <t>C009</t>
  </si>
  <si>
    <t>Flash Sale</t>
  </si>
  <si>
    <t>YouTube Ads</t>
  </si>
  <si>
    <t>C010</t>
  </si>
  <si>
    <t>C011</t>
  </si>
  <si>
    <t>Brand Awareness</t>
  </si>
  <si>
    <t>C012</t>
  </si>
  <si>
    <t>Holiday Campaign</t>
  </si>
  <si>
    <t>LinkedIn Ads</t>
  </si>
  <si>
    <t>C013</t>
  </si>
  <si>
    <t>Lead Generation</t>
  </si>
  <si>
    <t>C014</t>
  </si>
  <si>
    <t>C015</t>
  </si>
  <si>
    <t>C016</t>
  </si>
  <si>
    <t>C017</t>
  </si>
  <si>
    <t>C018</t>
  </si>
  <si>
    <t>Festive Blast</t>
  </si>
  <si>
    <t>C019</t>
  </si>
  <si>
    <t>C020</t>
  </si>
  <si>
    <t>C021</t>
  </si>
  <si>
    <t>C022</t>
  </si>
  <si>
    <t>C023</t>
  </si>
  <si>
    <t>C024</t>
  </si>
  <si>
    <t>C025</t>
  </si>
  <si>
    <t>Customer Retention</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</si>
  <si>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</si>
  <si>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</si>
  <si>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</si>
  <si>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</si>
  <si>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</si>
  <si>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</si>
  <si>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</si>
  <si>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</si>
  <si>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</si>
  <si>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</si>
  <si>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</si>
  <si>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</si>
  <si>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</si>
  <si>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</si>
  <si>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</si>
  <si>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</si>
  <si>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</si>
  <si>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</si>
  <si>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</si>
  <si>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</si>
  <si>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</si>
  <si>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</si>
  <si>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</si>
  <si>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</si>
  <si>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</si>
  <si>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</si>
  <si>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</si>
  <si>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</si>
  <si>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</si>
  <si>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</si>
  <si>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</si>
  <si>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</si>
  <si>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</si>
  <si>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</si>
  <si>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</si>
  <si>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</si>
  <si>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</si>
  <si>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</si>
  <si>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</si>
  <si>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</si>
  <si>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</si>
  <si>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</si>
  <si>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</si>
  <si>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</si>
  <si>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</si>
  <si>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</si>
  <si>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</si>
  <si>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</si>
  <si>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</si>
  <si>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</si>
  <si>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</si>
  <si>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</si>
  <si>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</si>
  <si>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</si>
  <si>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</si>
  <si>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</si>
  <si>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</si>
  <si>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</si>
  <si>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</si>
  <si>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</si>
  <si>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</si>
  <si>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</si>
  <si>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</si>
  <si>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</si>
  <si>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</si>
  <si>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</si>
  <si>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</si>
  <si>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</si>
  <si>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</si>
  <si>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</si>
  <si>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</si>
  <si>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</si>
  <si>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</si>
  <si>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</si>
  <si>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</si>
  <si>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Campaign ID</t>
  </si>
  <si>
    <t>Start Date</t>
  </si>
  <si>
    <t>End Date</t>
  </si>
  <si>
    <t>Conversion Rate</t>
  </si>
  <si>
    <t>Cost Per Lead</t>
  </si>
  <si>
    <t>ROI Percentage</t>
  </si>
  <si>
    <t>Campaign Name</t>
  </si>
  <si>
    <t>Total Conversions</t>
  </si>
  <si>
    <t>Grand Total</t>
  </si>
  <si>
    <t>Sum of Spend</t>
  </si>
  <si>
    <t>Sum of Revenue</t>
  </si>
  <si>
    <t>Sum of Conversions</t>
  </si>
  <si>
    <t>Sum of ROI Percentage</t>
  </si>
  <si>
    <t>Average of ROI Percentage</t>
  </si>
  <si>
    <t>Channel Performance</t>
  </si>
  <si>
    <t>Region Performance</t>
  </si>
  <si>
    <t>Sum of Conversion Rate</t>
  </si>
  <si>
    <t>Campaign Comparison</t>
  </si>
  <si>
    <t>Monthly Trend</t>
  </si>
  <si>
    <t>Row Labels</t>
  </si>
  <si>
    <t>Jan</t>
  </si>
  <si>
    <t>Feb</t>
  </si>
  <si>
    <t>Mar</t>
  </si>
  <si>
    <t>Apr</t>
  </si>
  <si>
    <t>Overall Conv. Rate</t>
  </si>
  <si>
    <t>Campaign 1</t>
  </si>
  <si>
    <t>Campaign 2</t>
  </si>
  <si>
    <t>Campaign_List</t>
  </si>
  <si>
    <t>Metric</t>
  </si>
  <si>
    <t>ROI %</t>
  </si>
  <si>
    <t>Campaign 3</t>
  </si>
  <si>
    <t xml:space="preserve">     Total Revenue</t>
  </si>
  <si>
    <t xml:space="preserve">                Total Spend</t>
  </si>
  <si>
    <t>Sum</t>
  </si>
  <si>
    <t>Average</t>
  </si>
  <si>
    <t>Running Total</t>
  </si>
  <si>
    <t>Count</t>
  </si>
  <si>
    <t>Winner</t>
  </si>
  <si>
    <t xml:space="preserve"> Overall ROI</t>
  </si>
  <si>
    <t xml:space="preserve">                </t>
  </si>
  <si>
    <t xml:space="preserve">           MARKETING CAMPAIGN PERFORMANCE TRACKER</t>
  </si>
  <si>
    <t xml:space="preserve">                Campaign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</si>
</sst>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14009]yyyy/mm/dd;@"/>
    <numFmt numFmtId="167" formatCode="[$-F800]dddd\,\ mmmm\ dd\,\ yyyy"/>
  </numFmts>
  <fonts count="13" x14ac:knownFonts="1">
    <font>
      <sz val="11"/>
      <color theme="1"/>
      <name val="Calibri"/>
      <family val="2"/>
      <scheme val="minor"/>
    </font>
    <font>
      <b/>
      <sz val="11"/>
      <name val="Calibri"/>
      <family val="2"/>
    </font>
    <font>
      <b/>
      <sz val="16"/>
      <color theme="1"/>
      <name val="Calibri"/>
      <family val="2"/>
      <scheme val="minor"/>
    </font>
    <font>
      <sz val="8"/>
      <name val="Calibri"/>
      <family val="2"/>
      <scheme val="minor"/>
    </font>
    <font>
      <b/>
      <sz val="11"/>
      <color theme="1"/>
      <name val="Calibri"/>
      <family val="2"/>
      <scheme val="minor"/>
    </font>
    <font>
      <sz val="11"/>
      <name val="Calibri"/>
      <family val="2"/>
      <scheme val="minor"/>
    </font>
    <font>
      <b/>
      <sz val="36"/>
      <color theme="0"/>
      <name val="Calibri"/>
      <family val="2"/>
      <scheme val="minor"/>
    </font>
    <font>
      <b/>
      <sz val="14"/>
      <color theme="1"/>
      <name val="Calibri"/>
      <family val="2"/>
      <scheme val="minor"/>
    </font>
    <font>
      <sz val="11"/>
      <name val="Wingdings 3"/>
      <family val="1"/>
      <charset val="2"/>
    </font>
    <font>
      <b/>
      <sz val="11"/>
      <name val="Calibri"/>
      <family val="2"/>
      <scheme val="minor"/>
    </font>
    <font>
      <b/>
      <sz val="11"/>
      <color rgb="FF0070C0"/>
      <name val="Calibri"/>
      <family val="2"/>
      <scheme val="minor"/>
    </font>
    <font>
      <b/>
      <sz val="11"/>
      <color theme="4"/>
      <name val="Calibri"/>
      <family val="2"/>
      <scheme val="minor"/>
    </font>
    <font>
      <b/>
      <sz val="11"/>
      <color rgb="FF92D05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4" tint="0.79998168889431442"/>
        <bgColor indexed="64"/>
      </patternFill>
    </fill>
    <fill>
      <patternFill patternType="solid">
        <fgColor theme="3"/>
        <bgColor indexed="64"/>
      </patternFill>
    </fill>
    <fill>
      <patternFill patternType="solid">
        <fgColor theme="6" tint="0.79998168889431442"/>
        <bgColor indexed="64"/>
      </patternFill>
    </fill>
    <fill>
      <patternFill patternType="solid">
        <fgColor theme="0" tint="-4.9989318521683403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s>
  <cellStyleXfs count="1">
    <xf numFmtId="0" fontId="0" fillId="0" borderId="0"/>
  </cellStyleXfs>
  <cellXfs count="68">
    <xf numFmtId="0" fontId="0" fillId="0" borderId="0" xfId="0"/>
    <xf numFmtId="0" fontId="1" fillId="0" borderId="0" xfId="0" applyFont="1"/>
    <xf numFmtId="2" fontId="0" fillId="0" borderId="0" xfId="0" applyNumberFormat="1"/>
    <xf numFmtId="2" fontId="1" fillId="2" borderId="0" xfId="0" applyNumberFormat="1" applyFont="1" applyFill="1"/>
    <xf numFmtId="164" fontId="1" fillId="0" borderId="0" xfId="0" applyNumberFormat="1" applyFont="1"/>
    <xf numFmtId="164" fontId="0" fillId="0" borderId="0" xfId="0" applyNumberFormat="1"/>
    <xf numFmtId="14" fontId="0" fillId="0" borderId="0" xfId="0" applyNumberFormat="1"/>
    <xf numFmtId="0" fontId="0" fillId="0" borderId="0" xfId="0" applyAlignment="1">
      <alignment horizontal="left"/>
    </xf>
    <xf numFmtId="167" fontId="1" fillId="0" borderId="0" xfId="0" applyNumberFormat="1" applyFont="1" applyAlignment="1">
      <alignment horizontal="left"/>
    </xf>
    <xf numFmtId="167" fontId="0" fillId="0" borderId="0" xfId="0" applyNumberFormat="1" applyAlignment="1">
      <alignment horizontal="left"/>
    </xf>
    <xf numFmtId="167" fontId="1" fillId="0" borderId="0" xfId="0" applyNumberFormat="1" applyFont="1"/>
    <xf numFmtId="167" fontId="0" fillId="0" borderId="0" xfId="0" applyNumberFormat="1"/>
    <xf numFmtId="0" fontId="0" fillId="0" borderId="0" xfId="0" applyAlignment="1">
      <alignment wrapText="1"/>
    </xf>
    <xf numFmtId="0" fontId="0" fillId="3" borderId="0" xfId="0" applyFill="1"/>
    <xf numFmtId="0" fontId="2" fillId="3" borderId="2" xfId="0" applyFont="1" applyFill="1" applyBorder="1" applyAlignment="1">
      <alignment horizontal="center"/>
    </xf>
    <xf numFmtId="0" fontId="0" fillId="3" borderId="0" xfId="0" applyFill="1" applyAlignment="1">
      <alignment horizontal="center" vertical="center"/>
    </xf>
    <xf numFmtId="0" fontId="2" fillId="3" borderId="0" xfId="0" applyFont="1" applyFill="1" applyAlignment="1">
      <alignment horizontal="center"/>
    </xf>
    <xf numFmtId="0" fontId="2" fillId="4" borderId="1" xfId="0" applyFont="1"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xf>
    <xf numFmtId="164" fontId="0" fillId="4" borderId="1" xfId="0" applyNumberFormat="1" applyFill="1" applyBorder="1"/>
    <xf numFmtId="164" fontId="0" fillId="4" borderId="1" xfId="0" applyNumberFormat="1" applyFill="1" applyBorder="1" applyAlignment="1"/>
    <xf numFmtId="0" fontId="0" fillId="4" borderId="1" xfId="0" applyNumberFormat="1" applyFill="1" applyBorder="1"/>
    <xf numFmtId="2" fontId="0" fillId="4" borderId="1" xfId="0" applyNumberFormat="1" applyFill="1" applyBorder="1"/>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4" borderId="11" xfId="0" applyFill="1" applyBorder="1" applyAlignment="1">
      <alignment horizontal="left"/>
    </xf>
    <xf numFmtId="164" fontId="0" fillId="4" borderId="7" xfId="0" applyNumberFormat="1" applyFill="1" applyBorder="1"/>
    <xf numFmtId="164" fontId="0" fillId="4" borderId="0" xfId="0" applyNumberFormat="1" applyFill="1" applyBorder="1" applyAlignment="1">
      <alignment wrapText="1"/>
    </xf>
    <xf numFmtId="0" fontId="0" fillId="4" borderId="8" xfId="0" applyNumberFormat="1" applyFill="1" applyBorder="1"/>
    <xf numFmtId="0" fontId="0" fillId="4" borderId="6" xfId="0" applyFill="1" applyBorder="1" applyAlignment="1">
      <alignment horizontal="left"/>
    </xf>
    <xf numFmtId="164" fontId="0" fillId="4" borderId="9" xfId="0" applyNumberFormat="1" applyFill="1" applyBorder="1"/>
    <xf numFmtId="164" fontId="0" fillId="4" borderId="5" xfId="0" applyNumberFormat="1" applyFill="1" applyBorder="1" applyAlignment="1">
      <alignment wrapText="1"/>
    </xf>
    <xf numFmtId="0" fontId="0" fillId="4" borderId="10" xfId="0" applyNumberFormat="1" applyFill="1" applyBorder="1"/>
    <xf numFmtId="0" fontId="5" fillId="4" borderId="1" xfId="0" applyFont="1" applyFill="1" applyBorder="1" applyAlignment="1">
      <alignment horizontal="left"/>
    </xf>
    <xf numFmtId="0" fontId="0" fillId="0" borderId="0" xfId="0" applyAlignment="1">
      <alignment horizontal="center"/>
    </xf>
    <xf numFmtId="0" fontId="0" fillId="0" borderId="0" xfId="0" applyAlignment="1">
      <alignment horizontal="center"/>
    </xf>
    <xf numFmtId="0" fontId="0" fillId="0" borderId="0" xfId="0" applyBorder="1"/>
    <xf numFmtId="0" fontId="0" fillId="0" borderId="0" xfId="0" applyFill="1" applyBorder="1"/>
    <xf numFmtId="164" fontId="7" fillId="0" borderId="0" xfId="0" applyNumberFormat="1" applyFont="1" applyFill="1" applyBorder="1" applyAlignment="1">
      <alignment horizontal="center" vertical="center"/>
    </xf>
    <xf numFmtId="0" fontId="0" fillId="0" borderId="0" xfId="0" applyFill="1" applyBorder="1" applyAlignment="1">
      <alignment horizontal="left"/>
    </xf>
    <xf numFmtId="0" fontId="0" fillId="0" borderId="0" xfId="0" applyFill="1" applyBorder="1" applyAlignment="1">
      <alignment horizontal="center" vertical="center"/>
    </xf>
    <xf numFmtId="164" fontId="7" fillId="0" borderId="0" xfId="0" applyNumberFormat="1" applyFont="1" applyFill="1" applyBorder="1" applyAlignment="1">
      <alignment horizontal="left" vertical="center"/>
    </xf>
    <xf numFmtId="0" fontId="4" fillId="0" borderId="0" xfId="0" applyFont="1"/>
    <xf numFmtId="0" fontId="0" fillId="0" borderId="0" xfId="0" applyAlignment="1">
      <alignment horizontal="right"/>
    </xf>
    <xf numFmtId="0" fontId="0" fillId="0" borderId="0" xfId="0" applyFill="1" applyBorder="1" applyAlignment="1">
      <alignment horizontal="left" vertical="center"/>
    </xf>
    <xf numFmtId="164" fontId="7" fillId="0" borderId="0" xfId="0" applyNumberFormat="1" applyFont="1" applyFill="1" applyBorder="1" applyAlignment="1">
      <alignment horizontal="left" vertical="center"/>
    </xf>
    <xf numFmtId="0" fontId="8" fillId="0" borderId="0" xfId="0" applyFont="1" applyFill="1" applyBorder="1" applyAlignment="1"/>
    <xf numFmtId="0" fontId="0" fillId="0" borderId="0" xfId="0" applyFill="1" applyBorder="1" applyAlignment="1">
      <alignment horizontal="center" vertical="top"/>
    </xf>
    <xf numFmtId="0" fontId="7" fillId="0" borderId="0" xfId="0" applyFont="1" applyAlignment="1">
      <alignment horizontal="center"/>
    </xf>
    <xf numFmtId="0" fontId="9" fillId="7" borderId="15" xfId="0" applyFont="1" applyFill="1" applyBorder="1" applyAlignment="1">
      <alignment horizontal="center" vertical="center" wrapText="1"/>
    </xf>
    <xf numFmtId="0" fontId="6" fillId="5" borderId="0" xfId="0" applyFont="1" applyFill="1" applyAlignment="1">
      <alignment horizontal="left" vertical="center"/>
    </xf>
    <xf numFmtId="0" fontId="10" fillId="0" borderId="12" xfId="0" applyFont="1" applyFill="1" applyBorder="1" applyAlignment="1">
      <alignment vertical="center" wrapText="1"/>
    </xf>
    <xf numFmtId="0" fontId="5" fillId="6" borderId="1" xfId="0" applyFont="1" applyFill="1" applyBorder="1" applyAlignment="1">
      <alignment horizontal="left" vertical="center"/>
    </xf>
    <xf numFmtId="0" fontId="5" fillId="4" borderId="1" xfId="0" applyFont="1" applyFill="1" applyBorder="1" applyAlignment="1">
      <alignment horizontal="left" vertical="center"/>
    </xf>
    <xf numFmtId="0" fontId="11" fillId="0" borderId="0" xfId="0" applyFont="1"/>
    <xf numFmtId="0" fontId="9" fillId="7" borderId="17" xfId="0" applyFont="1" applyFill="1" applyBorder="1" applyAlignment="1">
      <alignment horizontal="center" vertical="center" wrapText="1"/>
    </xf>
    <xf numFmtId="0" fontId="9" fillId="7" borderId="18" xfId="0" applyFont="1" applyFill="1" applyBorder="1" applyAlignment="1">
      <alignment horizontal="center" vertical="center" wrapText="1"/>
    </xf>
    <xf numFmtId="0" fontId="5" fillId="0" borderId="14" xfId="0" applyFont="1" applyFill="1" applyBorder="1" applyAlignment="1">
      <alignment vertical="center" wrapText="1"/>
    </xf>
    <xf numFmtId="0" fontId="5" fillId="0" borderId="19" xfId="0" applyFont="1" applyFill="1" applyBorder="1" applyAlignment="1">
      <alignment vertical="center" wrapText="1"/>
    </xf>
    <xf numFmtId="0" fontId="10" fillId="0" borderId="16" xfId="0" applyFont="1" applyFill="1" applyBorder="1" applyAlignment="1">
      <alignment vertical="center" wrapText="1"/>
    </xf>
    <xf numFmtId="0" fontId="12" fillId="0" borderId="12" xfId="0" applyFont="1" applyFill="1" applyBorder="1" applyAlignment="1">
      <alignment vertical="center" wrapText="1"/>
    </xf>
    <xf numFmtId="0" fontId="12" fillId="0" borderId="16" xfId="0" applyFont="1" applyFill="1" applyBorder="1" applyAlignment="1">
      <alignment vertical="center" wrapText="1"/>
    </xf>
    <xf numFmtId="0" fontId="12" fillId="0" borderId="0" xfId="0" applyFont="1"/>
    <xf numFmtId="0" fontId="4" fillId="0" borderId="13" xfId="0" applyFont="1" applyFill="1" applyBorder="1" applyAlignment="1">
      <alignment horizontal="right" vertical="center" wrapText="1"/>
    </xf>
    <xf numFmtId="0" fontId="4" fillId="0" borderId="20" xfId="0" applyFont="1" applyFill="1" applyBorder="1" applyAlignment="1">
      <alignment horizontal="right" vertical="center" wrapText="1"/>
    </xf>
  </cellXfs>
  <cellStyles count="1">
    <cellStyle name="Normal" xfId="0" builtinId="0"/>
  </cellStyles>
  <dxfs count="157">
    <dxf>
      <font>
        <b/>
        <i val="0"/>
        <color rgb="FF92D050"/>
      </font>
    </dxf>
    <dxf>
      <font>
        <color rgb="FF0070C0"/>
      </font>
    </dxf>
    <dxf>
      <font>
        <b/>
      </font>
      <numFmt numFmtId="0" formatCode="General"/>
      <fill>
        <patternFill patternType="none">
          <fgColor indexed="64"/>
          <bgColor auto="1"/>
        </patternFill>
      </fill>
      <alignment horizontal="right" vertical="center" textRotation="0" wrapText="1" indent="0" justifyLastLine="0" shrinkToFit="0" readingOrder="0"/>
      <border diagonalUp="0" diagonalDown="0">
        <left style="thin">
          <color theme="0" tint="-0.249977111117893"/>
        </left>
        <right/>
        <top style="thin">
          <color theme="0" tint="-0.249977111117893"/>
        </top>
        <bottom style="thin">
          <color theme="0" tint="-0.249977111117893"/>
        </bottom>
      </border>
    </dxf>
    <dxf>
      <font>
        <b/>
        <strike val="0"/>
        <outline val="0"/>
        <shadow val="0"/>
        <u val="none"/>
        <vertAlign val="baseline"/>
        <sz val="11"/>
        <color rgb="FF0070C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tint="-0.249977111117893"/>
        </left>
        <right/>
        <top style="thin">
          <color theme="0" tint="-0.249977111117893"/>
        </top>
        <bottom style="thin">
          <color theme="0" tint="-0.249977111117893"/>
        </bottom>
      </border>
    </dxf>
    <dxf>
      <font>
        <b/>
        <strike val="0"/>
        <outline val="0"/>
        <shadow val="0"/>
        <u val="none"/>
        <vertAlign val="baseline"/>
        <sz val="11"/>
        <color rgb="FF92D05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tint="-0.249977111117893"/>
        </right>
        <top style="thin">
          <color theme="0" tint="-0.249977111117893"/>
        </top>
        <bottom style="thin">
          <color theme="0" tint="-0.249977111117893"/>
        </bottom>
      </border>
    </dxf>
    <dxf>
      <font>
        <strike val="0"/>
        <outline val="0"/>
        <shadow val="0"/>
        <u val="none"/>
        <vertAlign val="baseline"/>
        <sz val="11"/>
        <color auto="1"/>
        <name val="Calibri"/>
        <family val="2"/>
        <scheme val="minor"/>
      </font>
      <fill>
        <patternFill patternType="solid">
          <fgColor indexed="64"/>
          <bgColor theme="0" tint="-4.9989318521683403E-2"/>
        </patternFill>
      </fill>
      <alignment textRotation="0" wrapText="1" indent="0" justifyLastLine="0" shrinkToFit="0" readingOrder="0"/>
      <border diagonalUp="0" diagonalDown="0">
        <left style="thin">
          <color theme="0" tint="-0.249977111117893"/>
        </left>
        <right style="thin">
          <color theme="0" tint="-0.249977111117893"/>
        </right>
        <top/>
        <bottom/>
        <vertical style="thin">
          <color theme="0" tint="-0.249977111117893"/>
        </vertical>
        <horizontal style="thin">
          <color theme="0" tint="-0.249977111117893"/>
        </horizontal>
      </border>
    </dxf>
    <dxf>
      <border>
        <top style="thin">
          <color theme="0" tint="-0.249977111117893"/>
        </top>
      </border>
    </dxf>
    <dxf>
      <border>
        <bottom style="thin">
          <color theme="0" tint="-0.249977111117893"/>
        </bottom>
      </border>
    </dxf>
    <dxf>
      <border diagonalUp="0" diagonalDown="0">
        <left style="thin">
          <color theme="0" tint="-0.249977111117893"/>
        </left>
        <right style="thin">
          <color theme="0" tint="-0.249977111117893"/>
        </right>
        <top style="thin">
          <color theme="0" tint="-0.249977111117893"/>
        </top>
        <bottom style="thin">
          <color theme="0" tint="-0.249977111117893"/>
        </bottom>
      </border>
    </dxf>
    <dxf>
      <fill>
        <patternFill patternType="none">
          <fgColor indexed="64"/>
          <bgColor auto="1"/>
        </patternFill>
      </fill>
    </dxf>
    <dxf>
      <font>
        <b/>
        <color theme="1"/>
      </font>
      <fill>
        <patternFill>
          <bgColor theme="4" tint="0.79998168889431442"/>
        </patternFill>
      </fill>
      <border>
        <left style="thin">
          <color theme="4"/>
        </left>
        <right style="thin">
          <color theme="4"/>
        </right>
        <top style="thin">
          <color theme="4"/>
        </top>
        <bottom style="thin">
          <color theme="4"/>
        </bottom>
        <vertical/>
        <horizontal/>
      </border>
    </dxf>
    <dxf>
      <font>
        <color theme="1"/>
      </font>
      <fill>
        <patternFill patternType="none">
          <bgColor auto="1"/>
        </patternFill>
      </fill>
      <border>
        <left style="thin">
          <color theme="3" tint="0.79998168889431442"/>
        </left>
        <right style="thin">
          <color theme="3" tint="0.79998168889431442"/>
        </right>
        <top style="thin">
          <color theme="3" tint="0.79998168889431442"/>
        </top>
        <bottom style="thin">
          <color theme="3" tint="0.79998168889431442"/>
        </bottom>
        <vertical/>
        <horizontal/>
      </border>
    </dxf>
    <dxf>
      <font>
        <color auto="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horizontal style="thin">
          <color indexed="64"/>
        </horizontal>
      </border>
    </dxf>
    <dxf>
      <border>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59999389629810485"/>
        </patternFill>
      </fill>
    </dxf>
    <dxf>
      <fill>
        <patternFill>
          <bgColor theme="5" tint="0.59999389629810485"/>
        </patternFill>
      </fill>
    </dxf>
    <dxf>
      <fill>
        <patternFill>
          <bgColor theme="5" tint="0.59999389629810485"/>
        </patternFill>
      </fill>
    </dxf>
    <dxf>
      <alignment wrapText="1"/>
    </dxf>
    <dxf>
      <alignment wrapText="1"/>
    </dxf>
    <dxf>
      <alignment wrapText="1"/>
    </dxf>
    <dxf>
      <alignment horizontal="center"/>
    </dxf>
    <dxf>
      <alignment horizontal="center"/>
    </dxf>
    <dxf>
      <alignment vertical="center"/>
    </dxf>
    <dxf>
      <alignment vertical="cent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1"/>
    </dxf>
    <dxf>
      <alignment wrapText="1"/>
    </dxf>
    <dxf>
      <alignment wrapText="0"/>
    </dxf>
    <dxf>
      <alignment wrapText="1"/>
    </dxf>
    <dxf>
      <alignment vertical="center"/>
    </dxf>
    <dxf>
      <alignment vertical="center"/>
    </dxf>
    <dxf>
      <alignment horizontal="center"/>
    </dxf>
    <dxf>
      <alignment horizontal="cent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alignment wrapText="1"/>
    </dxf>
    <dxf>
      <alignment vertical="center"/>
    </dxf>
    <dxf>
      <alignment vertical="center"/>
    </dxf>
    <dxf>
      <alignment horizontal="center"/>
    </dxf>
    <dxf>
      <alignment horizontal="center"/>
    </dxf>
    <dxf>
      <alignment wrapText="1"/>
    </dxf>
    <dxf>
      <alignment wrapText="1"/>
    </dxf>
    <dxf>
      <alignment wrapText="1"/>
    </dxf>
    <dxf>
      <alignment vertical="center"/>
    </dxf>
    <dxf>
      <alignment vertical="center"/>
    </dxf>
    <dxf>
      <alignment horizontal="center"/>
    </dxf>
    <dxf>
      <alignment horizontal="center"/>
    </dxf>
    <dxf>
      <numFmt numFmtId="167" formatCode="[$-F800]dddd\,\ mmmm\ dd\,\ yyyy"/>
    </dxf>
    <dxf>
      <numFmt numFmtId="167" formatCode="[$-F800]dddd\,\ mmmm\ dd\,\ yyyy"/>
      <alignment horizontal="left" vertical="bottom" textRotation="0" wrapText="0" indent="0" justifyLastLine="0" shrinkToFit="0" readingOrder="0"/>
    </dxf>
    <dxf>
      <numFmt numFmtId="2" formatCode="0.00"/>
    </dxf>
    <dxf>
      <numFmt numFmtId="2" formatCode="0.00"/>
    </dxf>
    <dxf>
      <numFmt numFmtId="2" formatCode="0.00"/>
    </dxf>
    <dxf>
      <numFmt numFmtId="2" formatCode="0.00"/>
    </dxf>
    <dxf>
      <numFmt numFmtId="164" formatCode="&quot;₹&quot;\ #,##0.00"/>
    </dxf>
    <dxf>
      <numFmt numFmtId="164" formatCode="&quot;₹&quot;\ #,##0.00"/>
    </dxf>
    <dxf>
      <font>
        <b/>
        <i val="0"/>
        <strike val="0"/>
        <condense val="0"/>
        <extend val="0"/>
        <outline val="0"/>
        <shadow val="0"/>
        <u val="none"/>
        <vertAlign val="baseline"/>
        <sz val="11"/>
        <color auto="1"/>
        <name val="Calibri"/>
        <family val="2"/>
        <scheme val="none"/>
      </font>
    </dxf>
  </dxfs>
  <tableStyles count="2" defaultTableStyle="TableStyleMedium9" defaultPivotStyle="PivotStyleLight16">
    <tableStyle name="Channel" pivot="0" table="0" count="10" xr9:uid="{B6474E17-3D51-4CCB-B14F-4000219EF724}">
      <tableStyleElement type="wholeTable" dxfId="12"/>
      <tableStyleElement type="headerRow" dxfId="11"/>
    </tableStyle>
    <tableStyle name="Invisible" pivot="0" table="0" count="0" xr9:uid="{D00F3ABD-0428-4853-91C0-687E13A98EC2}"/>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hanne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[marketing_campaign_sample_data_100_rows.xlsx]Pivot_Tables!PivotTable1</c:name>
    <c:fmtId val="11"/>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c:f>
              <c:strCache>
                <c:ptCount val="1"/>
                <c:pt idx="0">
                  <c:v>Sum of Spend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Pivot_Tables!$B$3:$B$9</c:f>
              <c:strCache>
                <c:ptCount val="6"/>
                <c:pt idx="0">
                  <c:v>Email Marketing</c:v>
                </c:pt>
                <c:pt idx="1">
                  <c:v>Facebook Ads</c:v>
                </c:pt>
                <c:pt idx="2">
                  <c:v>Google Ads</c:v>
                </c:pt>
                <c:pt idx="3">
                  <c:v>Instagram</c:v>
                </c:pt>
                <c:pt idx="4">
                  <c:v>LinkedIn Ads</c:v>
                </c:pt>
                <c:pt idx="5">
                  <c:v>YouTube Ads</c:v>
                </c:pt>
              </c:strCache>
            </c:strRef>
          </c:cat>
          <c:val>
            <c:numRef>
              <c:f>Pivot_Tables!$C$3:$C$9</c:f>
              <c:numCache>
                <c:formatCode>"₹"\ #,##0.00</c:formatCode>
                <c:ptCount val="6"/>
                <c:pt idx="0">
                  <c:v>93270.45</c:v>
                </c:pt>
                <c:pt idx="1">
                  <c:v>53512.92</c:v>
                </c:pt>
                <c:pt idx="2">
                  <c:v>86304.329999999987</c:v>
                </c:pt>
                <c:pt idx="3">
                  <c:v>65478.8</c:v>
                </c:pt>
                <c:pt idx="4">
                  <c:v>79549.919999999984</c:v>
                </c:pt>
                <c:pt idx="5">
                  <c:v>36146.629999999997</c:v>
                </c:pt>
              </c:numCache>
            </c:numRef>
          </c:val>
          <c:extLst>
            <c:ext xmlns:c16="http://schemas.microsoft.com/office/drawing/2014/chart" uri="{C3380CC4-5D6E-409C-BE32-E72D297353CC}">
              <c16:uniqueId val="{00000000-A9AD-4EBD-BF5B-62182F120BF9}"/>
            </c:ext>
          </c:extLst>
        </c:ser>
        <c:ser>
          <c:idx val="1"/>
          <c:order val="1"/>
          <c:tx>
            <c:strRef>
              <c:f>Pivot_Tables!$D$2</c:f>
              <c:strCache>
                <c:ptCount val="1"/>
                <c:pt idx="0">
                  <c:v>Sum of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Pivot_Tables!$B$3:$B$9</c:f>
              <c:strCache>
                <c:ptCount val="6"/>
                <c:pt idx="0">
                  <c:v>Email Marketing</c:v>
                </c:pt>
                <c:pt idx="1">
                  <c:v>Facebook Ads</c:v>
                </c:pt>
                <c:pt idx="2">
                  <c:v>Google Ads</c:v>
                </c:pt>
                <c:pt idx="3">
                  <c:v>Instagram</c:v>
                </c:pt>
                <c:pt idx="4">
                  <c:v>LinkedIn Ads</c:v>
                </c:pt>
                <c:pt idx="5">
                  <c:v>YouTube Ads</c:v>
                </c:pt>
              </c:strCache>
            </c:strRef>
          </c:cat>
          <c:val>
            <c:numRef>
              <c:f>Pivot_Tables!$D$3:$D$9</c:f>
              <c:numCache>
                <c:formatCode>"₹"\ #,##0.00</c:formatCode>
                <c:ptCount val="6"/>
                <c:pt idx="0">
                  <c:v>318022.06</c:v>
                </c:pt>
                <c:pt idx="1">
                  <c:v>149837.74999999994</c:v>
                </c:pt>
                <c:pt idx="2">
                  <c:v>259134.30000000005</c:v>
                </c:pt>
                <c:pt idx="3">
                  <c:v>183729.85</c:v>
                </c:pt>
                <c:pt idx="4">
                  <c:v>213174.52000000002</c:v>
                </c:pt>
                <c:pt idx="5">
                  <c:v>140126.52000000002</c:v>
                </c:pt>
              </c:numCache>
            </c:numRef>
          </c:val>
          <c:extLst>
            <c:ext xmlns:c16="http://schemas.microsoft.com/office/drawing/2014/chart" uri="{C3380CC4-5D6E-409C-BE32-E72D297353CC}">
              <c16:uniqueId val="{00000001-A9AD-4EBD-BF5B-62182F120BF9}"/>
            </c:ext>
          </c:extLst>
        </c:ser>
        <c:ser>
          <c:idx val="2"/>
          <c:order val="2"/>
          <c:tx>
            <c:strRef>
              <c:f>Pivot_Tables!$E$2</c:f>
              <c:strCache>
                <c:ptCount val="1"/>
                <c:pt idx="0">
                  <c:v>Sum of Conversions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Pivot_Tables!$B$3:$B$9</c:f>
              <c:strCache>
                <c:ptCount val="6"/>
                <c:pt idx="0">
                  <c:v>Email Marketing</c:v>
                </c:pt>
                <c:pt idx="1">
                  <c:v>Facebook Ads</c:v>
                </c:pt>
                <c:pt idx="2">
                  <c:v>Google Ads</c:v>
                </c:pt>
                <c:pt idx="3">
                  <c:v>Instagram</c:v>
                </c:pt>
                <c:pt idx="4">
                  <c:v>LinkedIn Ads</c:v>
                </c:pt>
                <c:pt idx="5">
                  <c:v>YouTube Ads</c:v>
                </c:pt>
              </c:strCache>
            </c:strRef>
          </c:cat>
          <c:val>
            <c:numRef>
              <c:f>Pivot_Tables!$E$3:$E$9</c:f>
              <c:numCache>
                <c:formatCode>General</c:formatCode>
                <c:ptCount val="6"/>
                <c:pt idx="0">
                  <c:v>5180</c:v>
                </c:pt>
                <c:pt idx="1">
                  <c:v>2835</c:v>
                </c:pt>
                <c:pt idx="2">
                  <c:v>5731</c:v>
                </c:pt>
                <c:pt idx="3">
                  <c:v>4798</c:v>
                </c:pt>
                <c:pt idx="4">
                  <c:v>3720</c:v>
                </c:pt>
                <c:pt idx="5">
                  <c:v>3432</c:v>
                </c:pt>
              </c:numCache>
            </c:numRef>
          </c:val>
          <c:extLst>
            <c:ext xmlns:c16="http://schemas.microsoft.com/office/drawing/2014/chart" uri="{C3380CC4-5D6E-409C-BE32-E72D297353CC}">
              <c16:uniqueId val="{00000002-A9AD-4EBD-BF5B-62182F120BF9}"/>
            </c:ext>
          </c:extLst>
        </c:ser>
        <c:ser>
          <c:idx val="3"/>
          <c:order val="3"/>
          <c:tx>
            <c:strRef>
              <c:f>Pivot_Tables!$F$2</c:f>
              <c:strCache>
                <c:ptCount val="1"/>
                <c:pt idx="0">
                  <c:v>Average of ROI Percentage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Pivot_Tables!$B$3:$B$9</c:f>
              <c:strCache>
                <c:ptCount val="6"/>
                <c:pt idx="0">
                  <c:v>Email Marketing</c:v>
                </c:pt>
                <c:pt idx="1">
                  <c:v>Facebook Ads</c:v>
                </c:pt>
                <c:pt idx="2">
                  <c:v>Google Ads</c:v>
                </c:pt>
                <c:pt idx="3">
                  <c:v>Instagram</c:v>
                </c:pt>
                <c:pt idx="4">
                  <c:v>LinkedIn Ads</c:v>
                </c:pt>
                <c:pt idx="5">
                  <c:v>YouTube Ads</c:v>
                </c:pt>
              </c:strCache>
            </c:strRef>
          </c:cat>
          <c:val>
            <c:numRef>
              <c:f>Pivot_Tables!$F$3:$F$9</c:f>
              <c:numCache>
                <c:formatCode>0.00</c:formatCode>
                <c:ptCount val="6"/>
                <c:pt idx="0">
                  <c:v>2.4180254024660037</c:v>
                </c:pt>
                <c:pt idx="1">
                  <c:v>1.8285051787282462</c:v>
                </c:pt>
                <c:pt idx="2">
                  <c:v>1.8784291084717302</c:v>
                </c:pt>
                <c:pt idx="3">
                  <c:v>1.9197070169023769</c:v>
                </c:pt>
                <c:pt idx="4">
                  <c:v>1.8058006532697342</c:v>
                </c:pt>
                <c:pt idx="5">
                  <c:v>2.6467610171826448</c:v>
                </c:pt>
              </c:numCache>
            </c:numRef>
          </c:val>
          <c:extLst>
            <c:ext xmlns:c16="http://schemas.microsoft.com/office/drawing/2014/chart" uri="{C3380CC4-5D6E-409C-BE32-E72D297353CC}">
              <c16:uniqueId val="{00000003-A9AD-4EBD-BF5B-62182F120BF9}"/>
            </c:ext>
          </c:extLst>
        </c:ser>
        <c:dLbls>
          <c:showLegendKey val="0"/>
          <c:showVal val="0"/>
          <c:showCatName val="0"/>
          <c:showSerName val="0"/>
          <c:showPercent val="0"/>
          <c:showBubbleSize val="0"/>
        </c:dLbls>
        <c:gapWidth val="100"/>
        <c:overlap val="-24"/>
        <c:axId val="466201535"/>
        <c:axId val="466200095"/>
      </c:barChart>
      <c:catAx>
        <c:axId val="466201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200095"/>
        <c:crosses val="autoZero"/>
        <c:auto val="1"/>
        <c:lblAlgn val="ctr"/>
        <c:lblOffset val="100"/>
        <c:noMultiLvlLbl val="0"/>
      </c:catAx>
      <c:valAx>
        <c:axId val="4662000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20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[marketing_campaign_sample_data_100_rows.xlsx]Pivot_Tables!PivotTable2</c:name>
    <c:fmtId val="1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Pivot_Tables!$I$2</c:f>
              <c:strCache>
                <c:ptCount val="1"/>
                <c:pt idx="0">
                  <c:v>Sum of Spend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Pivot_Tables!$H$3:$H$7</c:f>
              <c:strCache>
                <c:ptCount val="4"/>
                <c:pt idx="0">
                  <c:v>East</c:v>
                </c:pt>
                <c:pt idx="1">
                  <c:v>North</c:v>
                </c:pt>
                <c:pt idx="2">
                  <c:v>South</c:v>
                </c:pt>
                <c:pt idx="3">
                  <c:v>West</c:v>
                </c:pt>
              </c:strCache>
            </c:strRef>
          </c:cat>
          <c:val>
            <c:numRef>
              <c:f>Pivot_Tables!$I$3:$I$7</c:f>
              <c:numCache>
                <c:formatCode>"₹"\ #,##0.00</c:formatCode>
                <c:ptCount val="4"/>
                <c:pt idx="0">
                  <c:v>110678.96999999997</c:v>
                </c:pt>
                <c:pt idx="1">
                  <c:v>115964.69000000002</c:v>
                </c:pt>
                <c:pt idx="2">
                  <c:v>101293.70000000001</c:v>
                </c:pt>
                <c:pt idx="3">
                  <c:v>86325.69</c:v>
                </c:pt>
              </c:numCache>
            </c:numRef>
          </c:val>
          <c:extLst>
            <c:ext xmlns:c16="http://schemas.microsoft.com/office/drawing/2014/chart" uri="{C3380CC4-5D6E-409C-BE32-E72D297353CC}">
              <c16:uniqueId val="{00000000-5ED6-4FE0-B8DF-99AC8A3B5683}"/>
            </c:ext>
          </c:extLst>
        </c:ser>
        <c:ser>
          <c:idx val="1"/>
          <c:order val="1"/>
          <c:tx>
            <c:strRef>
              <c:f>Pivot_Tables!$J$2</c:f>
              <c:strCache>
                <c:ptCount val="1"/>
                <c:pt idx="0">
                  <c:v>Sum of Revenue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Pivot_Tables!$H$3:$H$7</c:f>
              <c:strCache>
                <c:ptCount val="4"/>
                <c:pt idx="0">
                  <c:v>East</c:v>
                </c:pt>
                <c:pt idx="1">
                  <c:v>North</c:v>
                </c:pt>
                <c:pt idx="2">
                  <c:v>South</c:v>
                </c:pt>
                <c:pt idx="3">
                  <c:v>West</c:v>
                </c:pt>
              </c:strCache>
            </c:strRef>
          </c:cat>
          <c:val>
            <c:numRef>
              <c:f>Pivot_Tables!$J$3:$J$7</c:f>
              <c:numCache>
                <c:formatCode>"₹"\ #,##0.00</c:formatCode>
                <c:ptCount val="4"/>
                <c:pt idx="0">
                  <c:v>312238.61</c:v>
                </c:pt>
                <c:pt idx="1">
                  <c:v>365663.29000000004</c:v>
                </c:pt>
                <c:pt idx="2">
                  <c:v>310639.24</c:v>
                </c:pt>
                <c:pt idx="3">
                  <c:v>275483.86</c:v>
                </c:pt>
              </c:numCache>
            </c:numRef>
          </c:val>
          <c:extLst>
            <c:ext xmlns:c16="http://schemas.microsoft.com/office/drawing/2014/chart" uri="{C3380CC4-5D6E-409C-BE32-E72D297353CC}">
              <c16:uniqueId val="{00000001-5ED6-4FE0-B8DF-99AC8A3B5683}"/>
            </c:ext>
          </c:extLst>
        </c:ser>
        <c:ser>
          <c:idx val="2"/>
          <c:order val="2"/>
          <c:tx>
            <c:strRef>
              <c:f>Pivot_Tables!$K$2</c:f>
              <c:strCache>
                <c:ptCount val="1"/>
                <c:pt idx="0">
                  <c:v>Sum of Conversion Rate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Pivot_Tables!$H$3:$H$7</c:f>
              <c:strCache>
                <c:ptCount val="4"/>
                <c:pt idx="0">
                  <c:v>East</c:v>
                </c:pt>
                <c:pt idx="1">
                  <c:v>North</c:v>
                </c:pt>
                <c:pt idx="2">
                  <c:v>South</c:v>
                </c:pt>
                <c:pt idx="3">
                  <c:v>West</c:v>
                </c:pt>
              </c:strCache>
            </c:strRef>
          </c:cat>
          <c:val>
            <c:numRef>
              <c:f>Pivot_Tables!$K$3:$K$7</c:f>
              <c:numCache>
                <c:formatCode>0.00</c:formatCode>
                <c:ptCount val="4"/>
                <c:pt idx="0">
                  <c:v>1.4363433814814763</c:v>
                </c:pt>
                <c:pt idx="1">
                  <c:v>1.3592023157758792</c:v>
                </c:pt>
                <c:pt idx="2">
                  <c:v>1.4385108836054656</c:v>
                </c:pt>
                <c:pt idx="3">
                  <c:v>1.4418863655653391</c:v>
                </c:pt>
              </c:numCache>
            </c:numRef>
          </c:val>
          <c:extLst>
            <c:ext xmlns:c16="http://schemas.microsoft.com/office/drawing/2014/chart" uri="{C3380CC4-5D6E-409C-BE32-E72D297353CC}">
              <c16:uniqueId val="{00000002-5ED6-4FE0-B8DF-99AC8A3B5683}"/>
            </c:ext>
          </c:extLst>
        </c:ser>
        <c:dLbls>
          <c:showLegendKey val="0"/>
          <c:showVal val="0"/>
          <c:showCatName val="0"/>
          <c:showSerName val="0"/>
          <c:showPercent val="0"/>
          <c:showBubbleSize val="0"/>
        </c:dLbls>
        <c:gapWidth val="182"/>
        <c:overlap val="-50"/>
        <c:axId val="680029311"/>
        <c:axId val="680027871"/>
      </c:barChart>
      <c:catAx>
        <c:axId val="6800293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0027871"/>
        <c:crosses val="autoZero"/>
        <c:auto val="1"/>
        <c:lblAlgn val="ctr"/>
        <c:lblOffset val="100"/>
        <c:noMultiLvlLbl val="0"/>
      </c:catAx>
      <c:valAx>
        <c:axId val="6800278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002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[marketing_campaign_sample_data_100_rows.xlsx]Pivot_Tables!PivotTable5</c:name>
    <c:fmtId val="16"/>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Pivot_Tables!$N$2</c:f>
              <c:strCache>
                <c:ptCount val="1"/>
                <c:pt idx="0">
                  <c:v>Sum of 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Pivot_Tables!$M$3:$M$7</c:f>
              <c:strCache>
                <c:ptCount val="4"/>
                <c:pt idx="0">
                  <c:v>Jan</c:v>
                </c:pt>
                <c:pt idx="1">
                  <c:v>Feb</c:v>
                </c:pt>
                <c:pt idx="2">
                  <c:v>Mar</c:v>
                </c:pt>
                <c:pt idx="3">
                  <c:v>Apr</c:v>
                </c:pt>
              </c:strCache>
            </c:strRef>
          </c:cat>
          <c:val>
            <c:numRef>
              <c:f>Pivot_Tables!$N$3:$N$7</c:f>
              <c:numCache>
                <c:formatCode>"₹"\ #,##0.00</c:formatCode>
                <c:ptCount val="4"/>
                <c:pt idx="0">
                  <c:v>261740.30000000005</c:v>
                </c:pt>
                <c:pt idx="1">
                  <c:v>265215.65000000002</c:v>
                </c:pt>
                <c:pt idx="2">
                  <c:v>382294.61</c:v>
                </c:pt>
                <c:pt idx="3">
                  <c:v>354774.44</c:v>
                </c:pt>
              </c:numCache>
            </c:numRef>
          </c:val>
          <c:smooth val="0"/>
          <c:extLst>
            <c:ext xmlns:c16="http://schemas.microsoft.com/office/drawing/2014/chart" uri="{C3380CC4-5D6E-409C-BE32-E72D297353CC}">
              <c16:uniqueId val="{00000000-801F-4492-840E-5097114C3B2D}"/>
            </c:ext>
          </c:extLst>
        </c:ser>
        <c:ser>
          <c:idx val="1"/>
          <c:order val="1"/>
          <c:tx>
            <c:strRef>
              <c:f>Pivot_Tables!$O$2</c:f>
              <c:strCache>
                <c:ptCount val="1"/>
                <c:pt idx="0">
                  <c:v>Sum of Spend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Pivot_Tables!$M$3:$M$7</c:f>
              <c:strCache>
                <c:ptCount val="4"/>
                <c:pt idx="0">
                  <c:v>Jan</c:v>
                </c:pt>
                <c:pt idx="1">
                  <c:v>Feb</c:v>
                </c:pt>
                <c:pt idx="2">
                  <c:v>Mar</c:v>
                </c:pt>
                <c:pt idx="3">
                  <c:v>Apr</c:v>
                </c:pt>
              </c:strCache>
            </c:strRef>
          </c:cat>
          <c:val>
            <c:numRef>
              <c:f>Pivot_Tables!$O$3:$O$7</c:f>
              <c:numCache>
                <c:formatCode>"₹"\ #,##0.00</c:formatCode>
                <c:ptCount val="4"/>
                <c:pt idx="0">
                  <c:v>85346.169999999984</c:v>
                </c:pt>
                <c:pt idx="1">
                  <c:v>92801.879999999961</c:v>
                </c:pt>
                <c:pt idx="2">
                  <c:v>119745.70000000001</c:v>
                </c:pt>
                <c:pt idx="3">
                  <c:v>116369.3</c:v>
                </c:pt>
              </c:numCache>
            </c:numRef>
          </c:val>
          <c:smooth val="0"/>
          <c:extLst>
            <c:ext xmlns:c16="http://schemas.microsoft.com/office/drawing/2014/chart" uri="{C3380CC4-5D6E-409C-BE32-E72D297353CC}">
              <c16:uniqueId val="{00000001-801F-4492-840E-5097114C3B2D}"/>
            </c:ext>
          </c:extLst>
        </c:ser>
        <c:ser>
          <c:idx val="2"/>
          <c:order val="2"/>
          <c:tx>
            <c:strRef>
              <c:f>Pivot_Tables!$P$2</c:f>
              <c:strCache>
                <c:ptCount val="1"/>
                <c:pt idx="0">
                  <c:v>Sum of Conversions</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Pivot_Tables!$M$3:$M$7</c:f>
              <c:strCache>
                <c:ptCount val="4"/>
                <c:pt idx="0">
                  <c:v>Jan</c:v>
                </c:pt>
                <c:pt idx="1">
                  <c:v>Feb</c:v>
                </c:pt>
                <c:pt idx="2">
                  <c:v>Mar</c:v>
                </c:pt>
                <c:pt idx="3">
                  <c:v>Apr</c:v>
                </c:pt>
              </c:strCache>
            </c:strRef>
          </c:cat>
          <c:val>
            <c:numRef>
              <c:f>Pivot_Tables!$P$3:$P$7</c:f>
              <c:numCache>
                <c:formatCode>General</c:formatCode>
                <c:ptCount val="4"/>
                <c:pt idx="0">
                  <c:v>4673</c:v>
                </c:pt>
                <c:pt idx="1">
                  <c:v>6737</c:v>
                </c:pt>
                <c:pt idx="2">
                  <c:v>8130</c:v>
                </c:pt>
                <c:pt idx="3">
                  <c:v>6156</c:v>
                </c:pt>
              </c:numCache>
            </c:numRef>
          </c:val>
          <c:smooth val="0"/>
          <c:extLst>
            <c:ext xmlns:c16="http://schemas.microsoft.com/office/drawing/2014/chart" uri="{C3380CC4-5D6E-409C-BE32-E72D297353CC}">
              <c16:uniqueId val="{00000002-801F-4492-840E-5097114C3B2D}"/>
            </c:ext>
          </c:extLst>
        </c:ser>
        <c:dLbls>
          <c:showLegendKey val="0"/>
          <c:showVal val="0"/>
          <c:showCatName val="0"/>
          <c:showSerName val="0"/>
          <c:showPercent val="0"/>
          <c:showBubbleSize val="0"/>
        </c:dLbls>
        <c:marker val="1"/>
        <c:smooth val="0"/>
        <c:axId val="457599519"/>
        <c:axId val="457602399"/>
      </c:lineChart>
      <c:catAx>
        <c:axId val="457599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02399"/>
        <c:crosses val="autoZero"/>
        <c:auto val="1"/>
        <c:lblAlgn val="ctr"/>
        <c:lblOffset val="100"/>
        <c:noMultiLvlLbl val="0"/>
      </c:catAx>
      <c:valAx>
        <c:axId val="45760239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59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[marketing_campaign_sample_data_100_rows.xlsx]Pivot_Tables!PivotTable4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Pivot_Tables!$S$2</c:f>
              <c:strCache>
                <c:ptCount val="1"/>
                <c:pt idx="0">
                  <c:v>Sum of ROI Percentage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12A-498A-8AB2-2AA3DFC4BD1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12A-498A-8AB2-2AA3DFC4BD1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12A-498A-8AB2-2AA3DFC4BD1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12A-498A-8AB2-2AA3DFC4BD1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12A-498A-8AB2-2AA3DFC4BD1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12A-498A-8AB2-2AA3DFC4BD1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112A-498A-8AB2-2AA3DFC4BD1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12A-498A-8AB2-2AA3DFC4BD1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12A-498A-8AB2-2AA3DFC4BD1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12A-498A-8AB2-2AA3DFC4BD1E}"/>
              </c:ext>
            </c:extLst>
          </c:dPt>
          <c:cat>
            <c:strRef>
              <c:f>Pivot_Tables!$R$3:$R$13</c:f>
              <c:strCache>
                <c:ptCount val="10"/>
                <c:pt idx="0">
                  <c:v>Back to School</c:v>
                </c:pt>
                <c:pt idx="1">
                  <c:v>Brand Awareness</c:v>
                </c:pt>
                <c:pt idx="2">
                  <c:v>Customer Retention</c:v>
                </c:pt>
                <c:pt idx="3">
                  <c:v>Festive Blast</c:v>
                </c:pt>
                <c:pt idx="4">
                  <c:v>Flash Sale</c:v>
                </c:pt>
                <c:pt idx="5">
                  <c:v>Holiday Campaign</c:v>
                </c:pt>
                <c:pt idx="6">
                  <c:v>Lead Generation</c:v>
                </c:pt>
                <c:pt idx="7">
                  <c:v>Product Launch</c:v>
                </c:pt>
                <c:pt idx="8">
                  <c:v>Summer Sale</c:v>
                </c:pt>
                <c:pt idx="9">
                  <c:v>Winter Offer</c:v>
                </c:pt>
              </c:strCache>
            </c:strRef>
          </c:cat>
          <c:val>
            <c:numRef>
              <c:f>Pivot_Tables!$S$3:$S$13</c:f>
              <c:numCache>
                <c:formatCode>0.00</c:formatCode>
                <c:ptCount val="10"/>
                <c:pt idx="0">
                  <c:v>19.383806651467324</c:v>
                </c:pt>
                <c:pt idx="1">
                  <c:v>25.135301113778144</c:v>
                </c:pt>
                <c:pt idx="2">
                  <c:v>19.915246840845317</c:v>
                </c:pt>
                <c:pt idx="3">
                  <c:v>11.788221910145099</c:v>
                </c:pt>
                <c:pt idx="4">
                  <c:v>23.717323880483224</c:v>
                </c:pt>
                <c:pt idx="5">
                  <c:v>17.614329241168758</c:v>
                </c:pt>
                <c:pt idx="6">
                  <c:v>34.953809445333775</c:v>
                </c:pt>
                <c:pt idx="7">
                  <c:v>12.37694162983737</c:v>
                </c:pt>
                <c:pt idx="8">
                  <c:v>12.386165809031953</c:v>
                </c:pt>
                <c:pt idx="9">
                  <c:v>27.769705929637936</c:v>
                </c:pt>
              </c:numCache>
            </c:numRef>
          </c:val>
          <c:extLst>
            <c:ext xmlns:c16="http://schemas.microsoft.com/office/drawing/2014/chart" uri="{C3380CC4-5D6E-409C-BE32-E72D297353CC}">
              <c16:uniqueId val="{00000014-112A-498A-8AB2-2AA3DFC4BD1E}"/>
            </c:ext>
          </c:extLst>
        </c:ser>
        <c:ser>
          <c:idx val="1"/>
          <c:order val="1"/>
          <c:tx>
            <c:strRef>
              <c:f>Pivot_Tables!$T$2</c:f>
              <c:strCache>
                <c:ptCount val="1"/>
                <c:pt idx="0">
                  <c:v>Sum of Revenue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112A-498A-8AB2-2AA3DFC4BD1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112A-498A-8AB2-2AA3DFC4BD1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112A-498A-8AB2-2AA3DFC4BD1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112A-498A-8AB2-2AA3DFC4BD1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112A-498A-8AB2-2AA3DFC4BD1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112A-498A-8AB2-2AA3DFC4BD1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112A-498A-8AB2-2AA3DFC4BD1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112A-498A-8AB2-2AA3DFC4BD1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112A-498A-8AB2-2AA3DFC4BD1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112A-498A-8AB2-2AA3DFC4BD1E}"/>
              </c:ext>
            </c:extLst>
          </c:dPt>
          <c:cat>
            <c:strRef>
              <c:f>Pivot_Tables!$R$3:$R$13</c:f>
              <c:strCache>
                <c:ptCount val="10"/>
                <c:pt idx="0">
                  <c:v>Back to School</c:v>
                </c:pt>
                <c:pt idx="1">
                  <c:v>Brand Awareness</c:v>
                </c:pt>
                <c:pt idx="2">
                  <c:v>Customer Retention</c:v>
                </c:pt>
                <c:pt idx="3">
                  <c:v>Festive Blast</c:v>
                </c:pt>
                <c:pt idx="4">
                  <c:v>Flash Sale</c:v>
                </c:pt>
                <c:pt idx="5">
                  <c:v>Holiday Campaign</c:v>
                </c:pt>
                <c:pt idx="6">
                  <c:v>Lead Generation</c:v>
                </c:pt>
                <c:pt idx="7">
                  <c:v>Product Launch</c:v>
                </c:pt>
                <c:pt idx="8">
                  <c:v>Summer Sale</c:v>
                </c:pt>
                <c:pt idx="9">
                  <c:v>Winter Offer</c:v>
                </c:pt>
              </c:strCache>
            </c:strRef>
          </c:cat>
          <c:val>
            <c:numRef>
              <c:f>Pivot_Tables!$T$3:$T$13</c:f>
              <c:numCache>
                <c:formatCode>"₹"\ #,##0.00</c:formatCode>
                <c:ptCount val="10"/>
                <c:pt idx="0">
                  <c:v>146416.67000000001</c:v>
                </c:pt>
                <c:pt idx="1">
                  <c:v>157668.68</c:v>
                </c:pt>
                <c:pt idx="2">
                  <c:v>72702.159999999989</c:v>
                </c:pt>
                <c:pt idx="3">
                  <c:v>101773.84</c:v>
                </c:pt>
                <c:pt idx="4">
                  <c:v>143092.13999999998</c:v>
                </c:pt>
                <c:pt idx="5">
                  <c:v>119159.09</c:v>
                </c:pt>
                <c:pt idx="6">
                  <c:v>205679.52000000002</c:v>
                </c:pt>
                <c:pt idx="7">
                  <c:v>93581.27</c:v>
                </c:pt>
                <c:pt idx="8">
                  <c:v>69145.850000000006</c:v>
                </c:pt>
                <c:pt idx="9">
                  <c:v>154805.78</c:v>
                </c:pt>
              </c:numCache>
            </c:numRef>
          </c:val>
          <c:extLst>
            <c:ext xmlns:c16="http://schemas.microsoft.com/office/drawing/2014/chart" uri="{C3380CC4-5D6E-409C-BE32-E72D297353CC}">
              <c16:uniqueId val="{00000029-112A-498A-8AB2-2AA3DFC4BD1E}"/>
            </c:ext>
          </c:extLst>
        </c:ser>
        <c:ser>
          <c:idx val="2"/>
          <c:order val="2"/>
          <c:tx>
            <c:strRef>
              <c:f>Pivot_Tables!$U$2</c:f>
              <c:strCache>
                <c:ptCount val="1"/>
                <c:pt idx="0">
                  <c:v>Sum of Spend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112A-498A-8AB2-2AA3DFC4BD1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112A-498A-8AB2-2AA3DFC4BD1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112A-498A-8AB2-2AA3DFC4BD1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112A-498A-8AB2-2AA3DFC4BD1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112A-498A-8AB2-2AA3DFC4BD1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112A-498A-8AB2-2AA3DFC4BD1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112A-498A-8AB2-2AA3DFC4BD1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112A-498A-8AB2-2AA3DFC4BD1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112A-498A-8AB2-2AA3DFC4BD1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112A-498A-8AB2-2AA3DFC4BD1E}"/>
              </c:ext>
            </c:extLst>
          </c:dPt>
          <c:cat>
            <c:strRef>
              <c:f>Pivot_Tables!$R$3:$R$13</c:f>
              <c:strCache>
                <c:ptCount val="10"/>
                <c:pt idx="0">
                  <c:v>Back to School</c:v>
                </c:pt>
                <c:pt idx="1">
                  <c:v>Brand Awareness</c:v>
                </c:pt>
                <c:pt idx="2">
                  <c:v>Customer Retention</c:v>
                </c:pt>
                <c:pt idx="3">
                  <c:v>Festive Blast</c:v>
                </c:pt>
                <c:pt idx="4">
                  <c:v>Flash Sale</c:v>
                </c:pt>
                <c:pt idx="5">
                  <c:v>Holiday Campaign</c:v>
                </c:pt>
                <c:pt idx="6">
                  <c:v>Lead Generation</c:v>
                </c:pt>
                <c:pt idx="7">
                  <c:v>Product Launch</c:v>
                </c:pt>
                <c:pt idx="8">
                  <c:v>Summer Sale</c:v>
                </c:pt>
                <c:pt idx="9">
                  <c:v>Winter Offer</c:v>
                </c:pt>
              </c:strCache>
            </c:strRef>
          </c:cat>
          <c:val>
            <c:numRef>
              <c:f>Pivot_Tables!$U$3:$U$13</c:f>
              <c:numCache>
                <c:formatCode>"₹"\ #,##0.00</c:formatCode>
                <c:ptCount val="10"/>
                <c:pt idx="0">
                  <c:v>47410.51</c:v>
                </c:pt>
                <c:pt idx="1">
                  <c:v>49095.51</c:v>
                </c:pt>
                <c:pt idx="2">
                  <c:v>26170.259999999995</c:v>
                </c:pt>
                <c:pt idx="3">
                  <c:v>40002.689999999995</c:v>
                </c:pt>
                <c:pt idx="4">
                  <c:v>39488.479999999996</c:v>
                </c:pt>
                <c:pt idx="5">
                  <c:v>37702.130000000005</c:v>
                </c:pt>
                <c:pt idx="6">
                  <c:v>51598.359999999993</c:v>
                </c:pt>
                <c:pt idx="7">
                  <c:v>39736.539999999994</c:v>
                </c:pt>
                <c:pt idx="8">
                  <c:v>20783.61</c:v>
                </c:pt>
                <c:pt idx="9">
                  <c:v>62274.96</c:v>
                </c:pt>
              </c:numCache>
            </c:numRef>
          </c:val>
          <c:extLst>
            <c:ext xmlns:c16="http://schemas.microsoft.com/office/drawing/2014/chart" uri="{C3380CC4-5D6E-409C-BE32-E72D297353CC}">
              <c16:uniqueId val="{0000003E-112A-498A-8AB2-2AA3DFC4BD1E}"/>
            </c:ext>
          </c:extLst>
        </c:ser>
        <c:ser>
          <c:idx val="3"/>
          <c:order val="3"/>
          <c:tx>
            <c:strRef>
              <c:f>Pivot_Tables!$V$2</c:f>
              <c:strCache>
                <c:ptCount val="1"/>
                <c:pt idx="0">
                  <c:v>Sum of Conversion Rate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0-112A-498A-8AB2-2AA3DFC4BD1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2-112A-498A-8AB2-2AA3DFC4BD1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4-112A-498A-8AB2-2AA3DFC4BD1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6-112A-498A-8AB2-2AA3DFC4BD1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8-112A-498A-8AB2-2AA3DFC4BD1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A-112A-498A-8AB2-2AA3DFC4BD1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C-112A-498A-8AB2-2AA3DFC4BD1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E-112A-498A-8AB2-2AA3DFC4BD1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0-112A-498A-8AB2-2AA3DFC4BD1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2-112A-498A-8AB2-2AA3DFC4BD1E}"/>
              </c:ext>
            </c:extLst>
          </c:dPt>
          <c:cat>
            <c:strRef>
              <c:f>Pivot_Tables!$R$3:$R$13</c:f>
              <c:strCache>
                <c:ptCount val="10"/>
                <c:pt idx="0">
                  <c:v>Back to School</c:v>
                </c:pt>
                <c:pt idx="1">
                  <c:v>Brand Awareness</c:v>
                </c:pt>
                <c:pt idx="2">
                  <c:v>Customer Retention</c:v>
                </c:pt>
                <c:pt idx="3">
                  <c:v>Festive Blast</c:v>
                </c:pt>
                <c:pt idx="4">
                  <c:v>Flash Sale</c:v>
                </c:pt>
                <c:pt idx="5">
                  <c:v>Holiday Campaign</c:v>
                </c:pt>
                <c:pt idx="6">
                  <c:v>Lead Generation</c:v>
                </c:pt>
                <c:pt idx="7">
                  <c:v>Product Launch</c:v>
                </c:pt>
                <c:pt idx="8">
                  <c:v>Summer Sale</c:v>
                </c:pt>
                <c:pt idx="9">
                  <c:v>Winter Offer</c:v>
                </c:pt>
              </c:strCache>
            </c:strRef>
          </c:cat>
          <c:val>
            <c:numRef>
              <c:f>Pivot_Tables!$V$3:$V$13</c:f>
              <c:numCache>
                <c:formatCode>0.00</c:formatCode>
                <c:ptCount val="10"/>
                <c:pt idx="0">
                  <c:v>0.49551961566208363</c:v>
                </c:pt>
                <c:pt idx="1">
                  <c:v>0.69006678246527231</c:v>
                </c:pt>
                <c:pt idx="2">
                  <c:v>0.180727429149275</c:v>
                </c:pt>
                <c:pt idx="3">
                  <c:v>0.59611332459795441</c:v>
                </c:pt>
                <c:pt idx="4">
                  <c:v>0.67977418377818688</c:v>
                </c:pt>
                <c:pt idx="5">
                  <c:v>0.51899289523792325</c:v>
                </c:pt>
                <c:pt idx="6">
                  <c:v>0.64799145148365911</c:v>
                </c:pt>
                <c:pt idx="7">
                  <c:v>0.51531480218967063</c:v>
                </c:pt>
                <c:pt idx="8">
                  <c:v>0.42886399085093452</c:v>
                </c:pt>
                <c:pt idx="9">
                  <c:v>0.92257847101320078</c:v>
                </c:pt>
              </c:numCache>
            </c:numRef>
          </c:val>
          <c:extLst>
            <c:ext xmlns:c16="http://schemas.microsoft.com/office/drawing/2014/chart" uri="{C3380CC4-5D6E-409C-BE32-E72D297353CC}">
              <c16:uniqueId val="{00000053-112A-498A-8AB2-2AA3DFC4BD1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003652668416452"/>
          <c:y val="0.13599482356372117"/>
          <c:w val="0.25329680664916887"/>
          <c:h val="0.83231590842811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Dashboard!$D$16</c:f>
              <c:strCache>
                <c:ptCount val="1"/>
                <c:pt idx="0">
                  <c:v>Revenue</c:v>
                </c:pt>
              </c:strCache>
            </c:strRef>
          </c:tx>
          <c:spPr>
            <a:solidFill>
              <a:schemeClr val="accent1"/>
            </a:solidFill>
            <a:ln>
              <a:noFill/>
            </a:ln>
            <a:effectLst/>
          </c:spPr>
          <c:invertIfNegative val="0"/>
          <c:val>
            <c:numRef>
              <c:f>Dashboard!$E$16:$F$16</c:f>
              <c:numCache>
                <c:formatCode>General</c:formatCode>
                <c:ptCount val="2"/>
                <c:pt idx="0">
                  <c:v>72702.159999999989</c:v>
                </c:pt>
                <c:pt idx="1">
                  <c:v>205679.52000000002</c:v>
                </c:pt>
              </c:numCache>
            </c:numRef>
          </c:val>
          <c:extLst>
            <c:ext xmlns:c16="http://schemas.microsoft.com/office/drawing/2014/chart" uri="{C3380CC4-5D6E-409C-BE32-E72D297353CC}">
              <c16:uniqueId val="{00000000-9CA5-4770-A53F-9B1CF481EB9C}"/>
            </c:ext>
          </c:extLst>
        </c:ser>
        <c:dLbls>
          <c:showLegendKey val="0"/>
          <c:showVal val="0"/>
          <c:showCatName val="0"/>
          <c:showSerName val="0"/>
          <c:showPercent val="0"/>
          <c:showBubbleSize val="0"/>
        </c:dLbls>
        <c:gapWidth val="219"/>
        <c:overlap val="-27"/>
        <c:axId val="457597599"/>
        <c:axId val="457605279"/>
      </c:barChart>
      <c:catAx>
        <c:axId val="4575975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05279"/>
        <c:crosses val="autoZero"/>
        <c:auto val="1"/>
        <c:lblAlgn val="ctr"/>
        <c:lblOffset val="100"/>
        <c:noMultiLvlLbl val="0"/>
      </c:catAx>
      <c:valAx>
        <c:axId val="45760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59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Dashboard!$D$11</c:f>
          <c:strCache>
            <c:ptCount val="1"/>
            <c:pt idx="0">
              <c:v>Campaign Comparison: Customer Retention vs Lead Generation</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Dashboard!$E$15</c:f>
              <c:strCache>
                <c:ptCount val="1"/>
                <c:pt idx="0">
                  <c:v>Campaign 1</c:v>
                </c:pt>
              </c:strCache>
            </c:strRef>
          </c:tx>
          <c:spPr>
            <a:solidFill>
              <a:schemeClr val="accent3">
                <a:lumMod val="60000"/>
                <a:lumOff val="40000"/>
              </a:schemeClr>
            </a:solidFill>
            <a:ln>
              <a:noFill/>
            </a:ln>
            <a:effectLst/>
            <a:sp3d/>
          </c:spPr>
          <c:invertIfNegative val="0"/>
          <c:cat>
            <c:strRef>
              <c:f>Dashboard!$D$16:$D$19</c:f>
              <c:strCache>
                <c:ptCount val="4"/>
                <c:pt idx="0">
                  <c:v>Revenue</c:v>
                </c:pt>
                <c:pt idx="1">
                  <c:v>Spend</c:v>
                </c:pt>
                <c:pt idx="2">
                  <c:v>ROI %</c:v>
                </c:pt>
                <c:pt idx="3">
                  <c:v>Conversion Rate</c:v>
                </c:pt>
              </c:strCache>
            </c:strRef>
          </c:cat>
          <c:val>
            <c:numRef>
              <c:f>Dashboard!$E$16:$E$19</c:f>
              <c:numCache>
                <c:formatCode>General</c:formatCode>
                <c:ptCount val="4"/>
                <c:pt idx="0">
                  <c:v>72702.159999999989</c:v>
                </c:pt>
                <c:pt idx="1">
                  <c:v>26170.259999999995</c:v>
                </c:pt>
                <c:pt idx="2">
                  <c:v>72701.159999999989</c:v>
                </c:pt>
                <c:pt idx="3">
                  <c:v>2.231233016304348E-2</c:v>
                </c:pt>
              </c:numCache>
            </c:numRef>
          </c:val>
          <c:extLst>
            <c:ext xmlns:c16="http://schemas.microsoft.com/office/drawing/2014/chart" uri="{C3380CC4-5D6E-409C-BE32-E72D297353CC}">
              <c16:uniqueId val="{00000000-7C71-4077-9C1C-5E3389208313}"/>
            </c:ext>
          </c:extLst>
        </c:ser>
        <c:ser>
          <c:idx val="1"/>
          <c:order val="1"/>
          <c:tx>
            <c:strRef>
              <c:f>Dashboard!$F$15</c:f>
              <c:strCache>
                <c:ptCount val="1"/>
                <c:pt idx="0">
                  <c:v>Campaign 2</c:v>
                </c:pt>
              </c:strCache>
            </c:strRef>
          </c:tx>
          <c:spPr>
            <a:solidFill>
              <a:schemeClr val="accent1">
                <a:lumMod val="40000"/>
                <a:lumOff val="60000"/>
              </a:schemeClr>
            </a:solidFill>
            <a:ln>
              <a:noFill/>
            </a:ln>
            <a:effectLst/>
            <a:sp3d/>
          </c:spPr>
          <c:invertIfNegative val="0"/>
          <c:cat>
            <c:strRef>
              <c:f>Dashboard!$D$16:$D$19</c:f>
              <c:strCache>
                <c:ptCount val="4"/>
                <c:pt idx="0">
                  <c:v>Revenue</c:v>
                </c:pt>
                <c:pt idx="1">
                  <c:v>Spend</c:v>
                </c:pt>
                <c:pt idx="2">
                  <c:v>ROI %</c:v>
                </c:pt>
                <c:pt idx="3">
                  <c:v>Conversion Rate</c:v>
                </c:pt>
              </c:strCache>
            </c:strRef>
          </c:cat>
          <c:val>
            <c:numRef>
              <c:f>Dashboard!$F$16:$F$19</c:f>
              <c:numCache>
                <c:formatCode>General</c:formatCode>
                <c:ptCount val="4"/>
                <c:pt idx="0">
                  <c:v>205679.52000000002</c:v>
                </c:pt>
                <c:pt idx="1">
                  <c:v>51598.359999999993</c:v>
                </c:pt>
                <c:pt idx="2">
                  <c:v>205678.52000000002</c:v>
                </c:pt>
                <c:pt idx="3">
                  <c:v>4.4288513236433229E-2</c:v>
                </c:pt>
              </c:numCache>
            </c:numRef>
          </c:val>
          <c:extLst>
            <c:ext xmlns:c16="http://schemas.microsoft.com/office/drawing/2014/chart" uri="{C3380CC4-5D6E-409C-BE32-E72D297353CC}">
              <c16:uniqueId val="{00000001-7C71-4077-9C1C-5E3389208313}"/>
            </c:ext>
          </c:extLst>
        </c:ser>
        <c:dLbls>
          <c:showLegendKey val="0"/>
          <c:showVal val="0"/>
          <c:showCatName val="0"/>
          <c:showSerName val="0"/>
          <c:showPercent val="0"/>
          <c:showBubbleSize val="0"/>
        </c:dLbls>
        <c:gapWidth val="150"/>
        <c:shape val="box"/>
        <c:axId val="746803759"/>
        <c:axId val="746809039"/>
        <c:axId val="0"/>
      </c:bar3DChart>
      <c:catAx>
        <c:axId val="7468037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09039"/>
        <c:crosses val="autoZero"/>
        <c:auto val="1"/>
        <c:lblAlgn val="ctr"/>
        <c:lblOffset val="100"/>
        <c:noMultiLvlLbl val="0"/>
      </c:catAx>
      <c:valAx>
        <c:axId val="7468090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0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xdr:col>
      <xdr:colOff>28575</xdr:colOff>
      <xdr:row>15</xdr:row>
      <xdr:rowOff>152400</xdr:rowOff>
    </xdr:from>
    <xdr:to>
      <xdr:col>7</xdr:col>
      <xdr:colOff>552450</xdr:colOff>
      <xdr:row>27</xdr:row>
      <xdr:rowOff>133350</xdr:rowOff>
    </xdr:to>
    <xdr:graphicFrame macro="">
      <xdr:nvGraphicFramePr>
        <xdr:cNvPr id="10" name="Chart 9">
          <a:extLst>
            <a:ext uri="{FF2B5EF4-FFF2-40B4-BE49-F238E27FC236}">
              <a16:creationId xmlns:a16="http://schemas.microsoft.com/office/drawing/2014/main" id="{05887AF9-72BB-4A2E-AFF5-3BA124313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638175</xdr:colOff>
      <xdr:row>15</xdr:row>
      <xdr:rowOff>152399</xdr:rowOff>
    </xdr:from>
    <xdr:to>
      <xdr:col>13</xdr:col>
      <xdr:colOff>342900</xdr:colOff>
      <xdr:row>27</xdr:row>
      <xdr:rowOff>152400</xdr:rowOff>
    </xdr:to>
    <xdr:graphicFrame macro="">
      <xdr:nvGraphicFramePr>
        <xdr:cNvPr id="11" name="Chart 10">
          <a:extLst>
            <a:ext uri="{FF2B5EF4-FFF2-40B4-BE49-F238E27FC236}">
              <a16:creationId xmlns:a16="http://schemas.microsoft.com/office/drawing/2014/main" id="{4540DB65-527E-4CC3-9B18-4E43065FF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114299</xdr:colOff>
      <xdr:row>28</xdr:row>
      <xdr:rowOff>28574</xdr:rowOff>
    </xdr:from>
    <xdr:to>
      <xdr:col>7</xdr:col>
      <xdr:colOff>561975</xdr:colOff>
      <xdr:row>41</xdr:row>
      <xdr:rowOff>95249</xdr:rowOff>
    </xdr:to>
    <xdr:graphicFrame macro="">
      <xdr:nvGraphicFramePr>
        <xdr:cNvPr id="12" name="Chart 11">
          <a:extLst>
            <a:ext uri="{FF2B5EF4-FFF2-40B4-BE49-F238E27FC236}">
              <a16:creationId xmlns:a16="http://schemas.microsoft.com/office/drawing/2014/main" id="{8487C181-D522-4CCB-AB76-816CBED17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628650</xdr:colOff>
      <xdr:row>28</xdr:row>
      <xdr:rowOff>76200</xdr:rowOff>
    </xdr:from>
    <xdr:to>
      <xdr:col>13</xdr:col>
      <xdr:colOff>352426</xdr:colOff>
      <xdr:row>41</xdr:row>
      <xdr:rowOff>114300</xdr:rowOff>
    </xdr:to>
    <xdr:graphicFrame macro="">
      <xdr:nvGraphicFramePr>
        <xdr:cNvPr id="13" name="Chart 12">
          <a:extLst>
            <a:ext uri="{FF2B5EF4-FFF2-40B4-BE49-F238E27FC236}">
              <a16:creationId xmlns:a16="http://schemas.microsoft.com/office/drawing/2014/main" id="{80895176-112C-4904-ADBC-A3E8C59B5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36</xdr:row>
      <xdr:rowOff>61912</xdr:rowOff>
    </xdr:from>
    <xdr:to>
      <xdr:col>2</xdr:col>
      <xdr:colOff>333374</xdr:colOff>
      <xdr:row>44</xdr:row>
      <xdr:rowOff>52387</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7BF702D1-AAE2-4922-9F2F-5E9A98FB442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25" y="7472362"/>
              <a:ext cx="1543049"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104776</xdr:rowOff>
    </xdr:from>
    <xdr:to>
      <xdr:col>2</xdr:col>
      <xdr:colOff>319768</xdr:colOff>
      <xdr:row>18</xdr:row>
      <xdr:rowOff>333376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06DE8E9-89B4-4435-B68A-5A1746B381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76526"/>
              <a:ext cx="1538968"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90828</xdr:rowOff>
    </xdr:from>
    <xdr:to>
      <xdr:col>2</xdr:col>
      <xdr:colOff>319768</xdr:colOff>
      <xdr:row>35</xdr:row>
      <xdr:rowOff>180975</xdr:rowOff>
    </xdr:to>
    <mc:AlternateContent xmlns:mc="http://schemas.openxmlformats.org/markup-compatibility/2006">
      <mc:Choice xmlns:a14="http://schemas.microsoft.com/office/drawing/2010/main" Requires="a14">
        <xdr:graphicFrame macro="">
          <xdr:nvGraphicFramePr>
            <xdr:cNvPr id="7" name="Campaign Name">
              <a:extLst>
                <a:ext uri="{FF2B5EF4-FFF2-40B4-BE49-F238E27FC236}">
                  <a16:creationId xmlns:a16="http://schemas.microsoft.com/office/drawing/2014/main" id="{6E926FC8-E400-48C6-85D0-699C9FC2980E}"/>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dr:sp macro="" textlink="">
          <xdr:nvSpPr>
            <xdr:cNvPr id="0" name=""/>
            <xdr:cNvSpPr>
              <a:spLocks noTextEdit="1"/>
            </xdr:cNvSpPr>
          </xdr:nvSpPr>
          <xdr:spPr>
            <a:xfrm>
              <a:off x="0" y="4262778"/>
              <a:ext cx="1538968" cy="3138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184500</xdr:rowOff>
    </xdr:from>
    <xdr:to>
      <xdr:col>2</xdr:col>
      <xdr:colOff>320250</xdr:colOff>
      <xdr:row>13</xdr:row>
      <xdr:rowOff>57150</xdr:rowOff>
    </xdr:to>
    <mc:AlternateContent xmlns:mc="http://schemas.openxmlformats.org/markup-compatibility/2006">
      <mc:Choice xmlns:a14="http://schemas.microsoft.com/office/drawing/2010/main" Requires="a14">
        <xdr:graphicFrame macro="">
          <xdr:nvGraphicFramePr>
            <xdr:cNvPr id="6" name="Channel">
              <a:extLst>
                <a:ext uri="{FF2B5EF4-FFF2-40B4-BE49-F238E27FC236}">
                  <a16:creationId xmlns:a16="http://schemas.microsoft.com/office/drawing/2014/main" id="{8F708E27-5EFA-4CCD-A376-C26925F3127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0" y="756000"/>
              <a:ext cx="1539450" cy="187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104775</xdr:colOff>
      <xdr:row>9</xdr:row>
      <xdr:rowOff>109537</xdr:rowOff>
    </xdr:from>
    <xdr:to>
      <xdr:col>24</xdr:col>
      <xdr:colOff>457200</xdr:colOff>
      <xdr:row>23</xdr:row>
      <xdr:rowOff>185737</xdr:rowOff>
    </xdr:to>
    <xdr:graphicFrame macro="">
      <xdr:nvGraphicFramePr>
        <xdr:cNvPr id="12" name="Chart 11">
          <a:extLst>
            <a:ext uri="{FF2B5EF4-FFF2-40B4-BE49-F238E27FC236}">
              <a16:creationId xmlns:a16="http://schemas.microsoft.com/office/drawing/2014/main" id="{91F82600-22CC-3048-136D-30B1F1E06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180974</xdr:rowOff>
    </xdr:from>
    <xdr:to>
      <xdr:col>2</xdr:col>
      <xdr:colOff>364800</xdr:colOff>
      <xdr:row>47</xdr:row>
      <xdr:rowOff>142875</xdr:rowOff>
    </xdr:to>
    <xdr:sp macro="" textlink="">
      <xdr:nvSpPr>
        <xdr:cNvPr id="13" name="Rectangle 12">
          <a:extLst>
            <a:ext uri="{FF2B5EF4-FFF2-40B4-BE49-F238E27FC236}">
              <a16:creationId xmlns:a16="http://schemas.microsoft.com/office/drawing/2014/main" id="{AE5696FF-F49B-E7A1-EEB4-D1B72CF649A9}"/>
            </a:ext>
          </a:extLst>
        </xdr:cNvPr>
        <xdr:cNvSpPr/>
      </xdr:nvSpPr>
      <xdr:spPr>
        <a:xfrm>
          <a:off x="0" y="561974"/>
          <a:ext cx="1584000" cy="8582026"/>
        </a:xfrm>
        <a:prstGeom prst="rect">
          <a:avLst/>
        </a:prstGeom>
        <a:noFill/>
        <a:ln w="12700">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xdr:col>
      <xdr:colOff>0</xdr:colOff>
      <xdr:row>3</xdr:row>
      <xdr:rowOff>133350</xdr:rowOff>
    </xdr:from>
    <xdr:to>
      <xdr:col>4</xdr:col>
      <xdr:colOff>704850</xdr:colOff>
      <xdr:row>8</xdr:row>
      <xdr:rowOff>47625</xdr:rowOff>
    </xdr:to>
    <xdr:sp macro="" textlink="">
      <xdr:nvSpPr>
        <xdr:cNvPr id="14" name="Rectangle: Rounded Corners 13">
          <a:extLst>
            <a:ext uri="{FF2B5EF4-FFF2-40B4-BE49-F238E27FC236}">
              <a16:creationId xmlns:a16="http://schemas.microsoft.com/office/drawing/2014/main" id="{AB409577-4593-5B90-05D0-6E495ABF35B6}"/>
            </a:ext>
          </a:extLst>
        </xdr:cNvPr>
        <xdr:cNvSpPr/>
      </xdr:nvSpPr>
      <xdr:spPr>
        <a:xfrm>
          <a:off x="1828800" y="704850"/>
          <a:ext cx="2257425" cy="914400"/>
        </a:xfrm>
        <a:prstGeom prst="roundRect">
          <a:avLst/>
        </a:prstGeom>
        <a:noFill/>
        <a:ln w="12700">
          <a:solidFill>
            <a:schemeClr val="tx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solidFill>
              <a:sysClr val="windowText" lastClr="000000"/>
            </a:solidFill>
          </a:endParaRPr>
        </a:p>
      </xdr:txBody>
    </xdr:sp>
    <xdr:clientData/>
  </xdr:twoCellAnchor>
  <xdr:twoCellAnchor editAs="oneCell">
    <xdr:from>
      <xdr:col>3</xdr:col>
      <xdr:colOff>66675</xdr:colOff>
      <xdr:row>3</xdr:row>
      <xdr:rowOff>161925</xdr:rowOff>
    </xdr:from>
    <xdr:to>
      <xdr:col>3</xdr:col>
      <xdr:colOff>457200</xdr:colOff>
      <xdr:row>5</xdr:row>
      <xdr:rowOff>171450</xdr:rowOff>
    </xdr:to>
    <xdr:pic>
      <xdr:nvPicPr>
        <xdr:cNvPr id="24" name="Graphic 23" descr="Dollar with solid fill">
          <a:extLst>
            <a:ext uri="{FF2B5EF4-FFF2-40B4-BE49-F238E27FC236}">
              <a16:creationId xmlns:a16="http://schemas.microsoft.com/office/drawing/2014/main" id="{C81A599B-3270-40A5-F5CB-5B5099A3144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95475" y="733425"/>
          <a:ext cx="390525" cy="390525"/>
        </a:xfrm>
        <a:prstGeom prst="rect">
          <a:avLst/>
        </a:prstGeom>
      </xdr:spPr>
    </xdr:pic>
    <xdr:clientData/>
  </xdr:twoCellAnchor>
  <xdr:twoCellAnchor editAs="oneCell">
    <xdr:from>
      <xdr:col>4</xdr:col>
      <xdr:colOff>971550</xdr:colOff>
      <xdr:row>4</xdr:row>
      <xdr:rowOff>0</xdr:rowOff>
    </xdr:from>
    <xdr:to>
      <xdr:col>4</xdr:col>
      <xdr:colOff>1362075</xdr:colOff>
      <xdr:row>6</xdr:row>
      <xdr:rowOff>9525</xdr:rowOff>
    </xdr:to>
    <xdr:pic>
      <xdr:nvPicPr>
        <xdr:cNvPr id="25" name="Graphic 24" descr="Dollar with solid fill">
          <a:extLst>
            <a:ext uri="{FF2B5EF4-FFF2-40B4-BE49-F238E27FC236}">
              <a16:creationId xmlns:a16="http://schemas.microsoft.com/office/drawing/2014/main" id="{040D4681-5576-4A70-84EB-62218A390A9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24300" y="762000"/>
          <a:ext cx="390525" cy="390525"/>
        </a:xfrm>
        <a:prstGeom prst="rect">
          <a:avLst/>
        </a:prstGeom>
      </xdr:spPr>
    </xdr:pic>
    <xdr:clientData/>
  </xdr:twoCellAnchor>
  <xdr:twoCellAnchor editAs="oneCell">
    <xdr:from>
      <xdr:col>6</xdr:col>
      <xdr:colOff>200026</xdr:colOff>
      <xdr:row>3</xdr:row>
      <xdr:rowOff>142876</xdr:rowOff>
    </xdr:from>
    <xdr:to>
      <xdr:col>6</xdr:col>
      <xdr:colOff>600076</xdr:colOff>
      <xdr:row>5</xdr:row>
      <xdr:rowOff>161926</xdr:rowOff>
    </xdr:to>
    <xdr:pic>
      <xdr:nvPicPr>
        <xdr:cNvPr id="27" name="Graphic 26" descr="Users with solid fill">
          <a:extLst>
            <a:ext uri="{FF2B5EF4-FFF2-40B4-BE49-F238E27FC236}">
              <a16:creationId xmlns:a16="http://schemas.microsoft.com/office/drawing/2014/main" id="{A0FBA632-4293-6B96-57B5-63F74F31CA8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67426" y="714376"/>
          <a:ext cx="400050" cy="400050"/>
        </a:xfrm>
        <a:prstGeom prst="rect">
          <a:avLst/>
        </a:prstGeom>
      </xdr:spPr>
    </xdr:pic>
    <xdr:clientData/>
  </xdr:twoCellAnchor>
  <xdr:twoCellAnchor>
    <xdr:from>
      <xdr:col>2</xdr:col>
      <xdr:colOff>428624</xdr:colOff>
      <xdr:row>9</xdr:row>
      <xdr:rowOff>85725</xdr:rowOff>
    </xdr:from>
    <xdr:to>
      <xdr:col>7</xdr:col>
      <xdr:colOff>352424</xdr:colOff>
      <xdr:row>20</xdr:row>
      <xdr:rowOff>66675</xdr:rowOff>
    </xdr:to>
    <xdr:sp macro="" textlink="">
      <xdr:nvSpPr>
        <xdr:cNvPr id="37" name="Rectangle: Rounded Corners 36">
          <a:extLst>
            <a:ext uri="{FF2B5EF4-FFF2-40B4-BE49-F238E27FC236}">
              <a16:creationId xmlns:a16="http://schemas.microsoft.com/office/drawing/2014/main" id="{5E5FE336-3FE6-46DB-B679-4155D081E416}"/>
            </a:ext>
          </a:extLst>
        </xdr:cNvPr>
        <xdr:cNvSpPr/>
      </xdr:nvSpPr>
      <xdr:spPr>
        <a:xfrm>
          <a:off x="1647824" y="1847850"/>
          <a:ext cx="5819775" cy="2533650"/>
        </a:xfrm>
        <a:prstGeom prst="roundRect">
          <a:avLst/>
        </a:prstGeom>
        <a:noFill/>
        <a:ln w="12700">
          <a:solidFill>
            <a:schemeClr val="tx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kern="1200">
            <a:solidFill>
              <a:sysClr val="windowText" lastClr="000000"/>
            </a:solidFill>
            <a:latin typeface="+mn-lt"/>
            <a:ea typeface="+mn-ea"/>
            <a:cs typeface="+mn-cs"/>
          </a:endParaRPr>
        </a:p>
      </xdr:txBody>
    </xdr:sp>
    <xdr:clientData/>
  </xdr:twoCellAnchor>
  <xdr:twoCellAnchor>
    <xdr:from>
      <xdr:col>4</xdr:col>
      <xdr:colOff>876300</xdr:colOff>
      <xdr:row>3</xdr:row>
      <xdr:rowOff>114300</xdr:rowOff>
    </xdr:from>
    <xdr:to>
      <xdr:col>5</xdr:col>
      <xdr:colOff>1238250</xdr:colOff>
      <xdr:row>8</xdr:row>
      <xdr:rowOff>28575</xdr:rowOff>
    </xdr:to>
    <xdr:sp macro="" textlink="">
      <xdr:nvSpPr>
        <xdr:cNvPr id="46" name="Rectangle: Rounded Corners 45">
          <a:extLst>
            <a:ext uri="{FF2B5EF4-FFF2-40B4-BE49-F238E27FC236}">
              <a16:creationId xmlns:a16="http://schemas.microsoft.com/office/drawing/2014/main" id="{FF9EEA95-F168-423A-81A8-E4C5DD080CB0}"/>
            </a:ext>
          </a:extLst>
        </xdr:cNvPr>
        <xdr:cNvSpPr/>
      </xdr:nvSpPr>
      <xdr:spPr>
        <a:xfrm>
          <a:off x="3781425" y="685800"/>
          <a:ext cx="1828800" cy="914400"/>
        </a:xfrm>
        <a:prstGeom prst="roundRect">
          <a:avLst/>
        </a:prstGeom>
        <a:noFill/>
        <a:ln w="12700">
          <a:solidFill>
            <a:schemeClr val="tx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solidFill>
              <a:sysClr val="windowText" lastClr="000000"/>
            </a:solidFill>
          </a:endParaRPr>
        </a:p>
      </xdr:txBody>
    </xdr:sp>
    <xdr:clientData/>
  </xdr:twoCellAnchor>
  <xdr:twoCellAnchor editAs="oneCell">
    <xdr:from>
      <xdr:col>7</xdr:col>
      <xdr:colOff>847725</xdr:colOff>
      <xdr:row>3</xdr:row>
      <xdr:rowOff>123825</xdr:rowOff>
    </xdr:from>
    <xdr:to>
      <xdr:col>7</xdr:col>
      <xdr:colOff>1276350</xdr:colOff>
      <xdr:row>5</xdr:row>
      <xdr:rowOff>171450</xdr:rowOff>
    </xdr:to>
    <xdr:pic>
      <xdr:nvPicPr>
        <xdr:cNvPr id="48" name="Graphic 47" descr="Upward trend with solid fill">
          <a:extLst>
            <a:ext uri="{FF2B5EF4-FFF2-40B4-BE49-F238E27FC236}">
              <a16:creationId xmlns:a16="http://schemas.microsoft.com/office/drawing/2014/main" id="{752BA986-A3A6-4C6D-A2E8-F239E9EACC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181975" y="695325"/>
          <a:ext cx="428625" cy="428625"/>
        </a:xfrm>
        <a:prstGeom prst="rect">
          <a:avLst/>
        </a:prstGeom>
      </xdr:spPr>
    </xdr:pic>
    <xdr:clientData/>
  </xdr:twoCellAnchor>
  <xdr:twoCellAnchor editAs="oneCell">
    <xdr:from>
      <xdr:col>9</xdr:col>
      <xdr:colOff>723900</xdr:colOff>
      <xdr:row>3</xdr:row>
      <xdr:rowOff>180975</xdr:rowOff>
    </xdr:from>
    <xdr:to>
      <xdr:col>10</xdr:col>
      <xdr:colOff>390525</xdr:colOff>
      <xdr:row>6</xdr:row>
      <xdr:rowOff>9525</xdr:rowOff>
    </xdr:to>
    <xdr:pic>
      <xdr:nvPicPr>
        <xdr:cNvPr id="50" name="Graphic 49" descr="Diamond with solid fill">
          <a:extLst>
            <a:ext uri="{FF2B5EF4-FFF2-40B4-BE49-F238E27FC236}">
              <a16:creationId xmlns:a16="http://schemas.microsoft.com/office/drawing/2014/main" id="{F5CAB121-290A-418A-9B36-876BDF57C9D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382250" y="752475"/>
          <a:ext cx="400050" cy="400050"/>
        </a:xfrm>
        <a:prstGeom prst="rect">
          <a:avLst/>
        </a:prstGeom>
      </xdr:spPr>
    </xdr:pic>
    <xdr:clientData/>
  </xdr:twoCellAnchor>
  <xdr:twoCellAnchor>
    <xdr:from>
      <xdr:col>9</xdr:col>
      <xdr:colOff>619125</xdr:colOff>
      <xdr:row>3</xdr:row>
      <xdr:rowOff>133350</xdr:rowOff>
    </xdr:from>
    <xdr:to>
      <xdr:col>12</xdr:col>
      <xdr:colOff>371475</xdr:colOff>
      <xdr:row>8</xdr:row>
      <xdr:rowOff>47625</xdr:rowOff>
    </xdr:to>
    <xdr:sp macro="" textlink="">
      <xdr:nvSpPr>
        <xdr:cNvPr id="51" name="Rectangle: Rounded Corners 50">
          <a:extLst>
            <a:ext uri="{FF2B5EF4-FFF2-40B4-BE49-F238E27FC236}">
              <a16:creationId xmlns:a16="http://schemas.microsoft.com/office/drawing/2014/main" id="{EA46CEAC-EBA1-441A-9A5A-0D33E1D821EE}"/>
            </a:ext>
          </a:extLst>
        </xdr:cNvPr>
        <xdr:cNvSpPr/>
      </xdr:nvSpPr>
      <xdr:spPr>
        <a:xfrm>
          <a:off x="10277475" y="704850"/>
          <a:ext cx="1828800" cy="914400"/>
        </a:xfrm>
        <a:prstGeom prst="roundRect">
          <a:avLst/>
        </a:prstGeom>
        <a:noFill/>
        <a:ln w="12700">
          <a:solidFill>
            <a:schemeClr val="tx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solidFill>
              <a:sysClr val="windowText" lastClr="000000"/>
            </a:solidFill>
          </a:endParaRPr>
        </a:p>
      </xdr:txBody>
    </xdr:sp>
    <xdr:clientData/>
  </xdr:twoCellAnchor>
  <xdr:twoCellAnchor>
    <xdr:from>
      <xdr:col>5</xdr:col>
      <xdr:colOff>1438275</xdr:colOff>
      <xdr:row>3</xdr:row>
      <xdr:rowOff>114300</xdr:rowOff>
    </xdr:from>
    <xdr:to>
      <xdr:col>7</xdr:col>
      <xdr:colOff>523875</xdr:colOff>
      <xdr:row>8</xdr:row>
      <xdr:rowOff>28575</xdr:rowOff>
    </xdr:to>
    <xdr:sp macro="" textlink="">
      <xdr:nvSpPr>
        <xdr:cNvPr id="53" name="Rectangle: Rounded Corners 52">
          <a:extLst>
            <a:ext uri="{FF2B5EF4-FFF2-40B4-BE49-F238E27FC236}">
              <a16:creationId xmlns:a16="http://schemas.microsoft.com/office/drawing/2014/main" id="{0127F9EB-DCE2-4D69-99B1-D510973314E7}"/>
            </a:ext>
          </a:extLst>
        </xdr:cNvPr>
        <xdr:cNvSpPr/>
      </xdr:nvSpPr>
      <xdr:spPr>
        <a:xfrm>
          <a:off x="5810250" y="685800"/>
          <a:ext cx="2047875" cy="914400"/>
        </a:xfrm>
        <a:prstGeom prst="roundRect">
          <a:avLst/>
        </a:prstGeom>
        <a:noFill/>
        <a:ln w="12700">
          <a:solidFill>
            <a:schemeClr val="tx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solidFill>
              <a:sysClr val="windowText" lastClr="000000"/>
            </a:solidFill>
          </a:endParaRPr>
        </a:p>
      </xdr:txBody>
    </xdr:sp>
    <xdr:clientData/>
  </xdr:twoCellAnchor>
  <xdr:twoCellAnchor>
    <xdr:from>
      <xdr:col>7</xdr:col>
      <xdr:colOff>714375</xdr:colOff>
      <xdr:row>3</xdr:row>
      <xdr:rowOff>114300</xdr:rowOff>
    </xdr:from>
    <xdr:to>
      <xdr:col>9</xdr:col>
      <xdr:colOff>438150</xdr:colOff>
      <xdr:row>8</xdr:row>
      <xdr:rowOff>28575</xdr:rowOff>
    </xdr:to>
    <xdr:sp macro="" textlink="">
      <xdr:nvSpPr>
        <xdr:cNvPr id="54" name="Rectangle: Rounded Corners 53">
          <a:extLst>
            <a:ext uri="{FF2B5EF4-FFF2-40B4-BE49-F238E27FC236}">
              <a16:creationId xmlns:a16="http://schemas.microsoft.com/office/drawing/2014/main" id="{DD73A516-1E1D-4C72-8D66-AFF8F038E2FD}"/>
            </a:ext>
          </a:extLst>
        </xdr:cNvPr>
        <xdr:cNvSpPr/>
      </xdr:nvSpPr>
      <xdr:spPr>
        <a:xfrm>
          <a:off x="8048625" y="685800"/>
          <a:ext cx="2047875" cy="914400"/>
        </a:xfrm>
        <a:prstGeom prst="roundRect">
          <a:avLst/>
        </a:prstGeom>
        <a:noFill/>
        <a:ln w="12700">
          <a:solidFill>
            <a:schemeClr val="tx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solidFill>
              <a:sysClr val="windowText" lastClr="000000"/>
            </a:solidFill>
          </a:endParaRPr>
        </a:p>
      </xdr:txBody>
    </xdr:sp>
    <xdr:clientData/>
  </xdr:twoCellAnchor>
  <xdr:twoCellAnchor>
    <xdr:from>
      <xdr:col>7</xdr:col>
      <xdr:colOff>523875</xdr:colOff>
      <xdr:row>9</xdr:row>
      <xdr:rowOff>90487</xdr:rowOff>
    </xdr:from>
    <xdr:to>
      <xdr:col>12</xdr:col>
      <xdr:colOff>419100</xdr:colOff>
      <xdr:row>19</xdr:row>
      <xdr:rowOff>95250</xdr:rowOff>
    </xdr:to>
    <xdr:graphicFrame macro="">
      <xdr:nvGraphicFramePr>
        <xdr:cNvPr id="56" name="Chart 55">
          <a:extLst>
            <a:ext uri="{FF2B5EF4-FFF2-40B4-BE49-F238E27FC236}">
              <a16:creationId xmlns:a16="http://schemas.microsoft.com/office/drawing/2014/main" id="{5ECD17E6-C72A-6F75-699B-1C20923D6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sharma" refreshedDate="46162.686952430558" createdVersion="8" refreshedVersion="8" minRefreshableVersion="3" recordCount="100" xr:uid="{7E9F4E6F-B408-4759-B056-EA870205343D}">
  <cacheSource type="worksheet">
    <worksheetSource name="tbl_campaigns"/>
  </cacheSource>
  <cacheFields count="19">
    <cacheField name="Campaign ID" numFmtId="0">
      <sharedItems/>
    </cacheField>
    <cacheField name="Campaign Name" numFmtId="0">
      <sharedItems count="10">
        <s v="Winter Offer"/>
        <s v="Summer Sale"/>
        <s v="Product Launch"/>
        <s v="Back to School"/>
        <s v="Flash Sale"/>
        <s v="Brand Awareness"/>
        <s v="Holiday Campaign"/>
        <s v="Lead Generation"/>
        <s v="Festive Blast"/>
        <s v="Customer Retention"/>
      </sharedItems>
    </cacheField>
    <cacheField name="Channel" numFmtId="0">
      <sharedItems count="6">
        <s v="Facebook Ads"/>
        <s v="Google Ads"/>
        <s v="Email Marketing"/>
        <s v="Instagram"/>
        <s v="YouTube Ads"/>
        <s v="LinkedIn Ads"/>
      </sharedItems>
    </cacheField>
    <cacheField name="Region" numFmtId="0">
      <sharedItems count="4">
        <s v="East"/>
        <s v="South"/>
        <s v="West"/>
        <s v="North"/>
      </sharedItems>
    </cacheField>
    <cacheField name="Start Date" numFmtId="167">
      <sharedItems containsSemiMixedTypes="0" containsNonDate="0" containsDate="1" containsString="0" minDate="2026-01-01T00:00:00" maxDate="2026-05-01T00:00:00" count="73">
        <d v="2026-02-01T00:00:00"/>
        <d v="2026-03-06T00:00:00"/>
        <d v="2026-02-13T00:00:00"/>
        <d v="2026-04-14T00:00:00"/>
        <d v="2026-03-15T00:00:00"/>
        <d v="2026-02-18T00:00:00"/>
        <d v="2026-03-10T00:00:00"/>
        <d v="2026-04-18T00:00:00"/>
        <d v="2026-01-28T00:00:00"/>
        <d v="2026-04-06T00:00:00"/>
        <d v="2026-01-12T00:00:00"/>
        <d v="2026-03-09T00:00:00"/>
        <d v="2026-01-15T00:00:00"/>
        <d v="2026-03-18T00:00:00"/>
        <d v="2026-01-31T00:00:00"/>
        <d v="2026-03-26T00:00:00"/>
        <d v="2026-04-02T00:00:00"/>
        <d v="2026-04-26T00:00:00"/>
        <d v="2026-03-28T00:00:00"/>
        <d v="2026-01-25T00:00:00"/>
        <d v="2026-01-07T00:00:00"/>
        <d v="2026-04-21T00:00:00"/>
        <d v="2026-03-31T00:00:00"/>
        <d v="2026-04-19T00:00:00"/>
        <d v="2026-03-21T00:00:00"/>
        <d v="2026-02-17T00:00:00"/>
        <d v="2026-04-30T00:00:00"/>
        <d v="2026-03-19T00:00:00"/>
        <d v="2026-03-12T00:00:00"/>
        <d v="2026-04-17T00:00:00"/>
        <d v="2026-03-29T00:00:00"/>
        <d v="2026-04-29T00:00:00"/>
        <d v="2026-02-04T00:00:00"/>
        <d v="2026-02-09T00:00:00"/>
        <d v="2026-03-24T00:00:00"/>
        <d v="2026-01-05T00:00:00"/>
        <d v="2026-02-02T00:00:00"/>
        <d v="2026-01-09T00:00:00"/>
        <d v="2026-02-11T00:00:00"/>
        <d v="2026-02-21T00:00:00"/>
        <d v="2026-02-26T00:00:00"/>
        <d v="2026-04-15T00:00:00"/>
        <d v="2026-02-28T00:00:00"/>
        <d v="2026-04-25T00:00:00"/>
        <d v="2026-04-28T00:00:00"/>
        <d v="2026-03-22T00:00:00"/>
        <d v="2026-01-18T00:00:00"/>
        <d v="2026-02-23T00:00:00"/>
        <d v="2026-01-01T00:00:00"/>
        <d v="2026-01-29T00:00:00"/>
        <d v="2026-04-07T00:00:00"/>
        <d v="2026-04-10T00:00:00"/>
        <d v="2026-03-02T00:00:00"/>
        <d v="2026-01-10T00:00:00"/>
        <d v="2026-02-14T00:00:00"/>
        <d v="2026-02-25T00:00:00"/>
        <d v="2026-03-01T00:00:00"/>
        <d v="2026-02-15T00:00:00"/>
        <d v="2026-03-04T00:00:00"/>
        <d v="2026-02-10T00:00:00"/>
        <d v="2026-01-13T00:00:00"/>
        <d v="2026-01-20T00:00:00"/>
        <d v="2026-03-20T00:00:00"/>
        <d v="2026-01-21T00:00:00"/>
        <d v="2026-03-11T00:00:00"/>
        <d v="2026-04-24T00:00:00"/>
        <d v="2026-04-08T00:00:00"/>
        <d v="2026-03-16T00:00:00"/>
        <d v="2026-02-22T00:00:00"/>
        <d v="2026-03-08T00:00:00"/>
        <d v="2026-03-07T00:00:00"/>
        <d v="2026-02-19T00:00:00"/>
        <d v="2026-04-11T00:00:00"/>
      </sharedItems>
      <fieldGroup par="18"/>
    </cacheField>
    <cacheField name="Month" numFmtId="165">
      <sharedItems containsNonDate="0" count="4">
        <s v="Feb"/>
        <s v="Mar"/>
        <s v="Apr"/>
        <s v="Jan"/>
      </sharedItems>
    </cacheField>
    <cacheField name="End Date" numFmtId="167">
      <sharedItems containsSemiMixedTypes="0" containsNonDate="0" containsDate="1" containsString="0" minDate="2026-01-15T00:00:00" maxDate="2026-05-29T00:00:00"/>
    </cacheField>
    <cacheField name="Impressions" numFmtId="0">
      <sharedItems containsSemiMixedTypes="0" containsString="0" containsNumber="1" containsInteger="1" minValue="20053" maxValue="119536"/>
    </cacheField>
    <cacheField name="Clicks" numFmtId="0">
      <sharedItems containsSemiMixedTypes="0" containsString="0" containsNumber="1" containsInteger="1" minValue="1188" maxValue="11276"/>
    </cacheField>
    <cacheField name="Leads" numFmtId="0">
      <sharedItems containsSemiMixedTypes="0" containsString="0" containsNumber="1" containsInteger="1" minValue="106" maxValue="3221"/>
    </cacheField>
    <cacheField name="Conversions" numFmtId="0">
      <sharedItems containsSemiMixedTypes="0" containsString="0" containsNumber="1" containsInteger="1" minValue="20" maxValue="1433"/>
    </cacheField>
    <cacheField name="Spend" numFmtId="164">
      <sharedItems containsSemiMixedTypes="0" containsString="0" containsNumber="1" minValue="526.59" maxValue="7889.82"/>
    </cacheField>
    <cacheField name="Revenue" numFmtId="164">
      <sharedItems containsSemiMixedTypes="0" containsString="0" containsNumber="1" minValue="1582.46" maxValue="34657.440000000002"/>
    </cacheField>
    <cacheField name="CTR" numFmtId="2">
      <sharedItems containsSemiMixedTypes="0" containsString="0" containsNumber="1" minValue="1.2841577308889657E-2" maxValue="0.11859494151340534"/>
    </cacheField>
    <cacheField name="Conversion Rate" numFmtId="2">
      <sharedItems containsSemiMixedTypes="0" containsString="0" containsNumber="1" minValue="2.7210884353741495E-3" maxValue="0.18433829287392325"/>
    </cacheField>
    <cacheField name="Cost Per Lead" numFmtId="2">
      <sharedItems containsSemiMixedTypes="0" containsString="0" containsNumber="1" minValue="0.22323657927590512" maxValue="70.205754716981133"/>
    </cacheField>
    <cacheField name="ROI Percentage" numFmtId="2">
      <sharedItems containsSemiMixedTypes="0" containsString="0" containsNumber="1" minValue="0.20974602502606043" maxValue="3.9898381633421156"/>
    </cacheField>
    <cacheField name="Days (Start Date)" numFmtId="0" databaseField="0">
      <fieldGroup base="4">
        <rangePr groupBy="days" startDate="2026-01-01T00:00:00" endDate="2026-05-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6"/>
        </groupItems>
      </fieldGroup>
    </cacheField>
    <cacheField name="Months (Start Date)" numFmtId="0" databaseField="0">
      <fieldGroup base="4">
        <rangePr groupBy="months" startDate="2026-01-01T00:00:00" endDate="2026-05-01T00:00:00"/>
        <groupItems count="14">
          <s v="&lt;01-01-2026"/>
          <s v="Jan"/>
          <s v="Feb"/>
          <s v="Mar"/>
          <s v="Apr"/>
          <s v="May"/>
          <s v="Jun"/>
          <s v="Jul"/>
          <s v="Aug"/>
          <s v="Sep"/>
          <s v="Oct"/>
          <s v="Nov"/>
          <s v="Dec"/>
          <s v="&gt;01-05-2026"/>
        </groupItems>
      </fieldGroup>
    </cacheField>
  </cacheFields>
  <extLst>
    <ext xmlns:x14="http://schemas.microsoft.com/office/spreadsheetml/2009/9/main" uri="{725AE2AE-9491-48be-B2B4-4EB974FC3084}">
      <x14:pivotCacheDefinition pivotCacheId="1184863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x v="0"/>
    <x v="0"/>
    <x v="0"/>
    <x v="0"/>
    <x v="0"/>
    <d v="2026-02-15T00:00:00"/>
    <n v="38289"/>
    <n v="4016"/>
    <n v="309"/>
    <n v="42"/>
    <n v="4928.6899999999996"/>
    <n v="6509.69"/>
    <n v="0.10488652093290501"/>
    <n v="1.045816733067729E-2"/>
    <n v="15.950453074433655"/>
    <n v="0.32077489150261024"/>
  </r>
  <r>
    <s v="C002"/>
    <x v="0"/>
    <x v="1"/>
    <x v="1"/>
    <x v="1"/>
    <x v="1"/>
    <d v="2026-04-01T00:00:00"/>
    <n v="23478"/>
    <n v="2149"/>
    <n v="303"/>
    <n v="127"/>
    <n v="2153.3000000000002"/>
    <n v="7405.65"/>
    <n v="9.1532498509242693E-2"/>
    <n v="5.9097254536993951E-2"/>
    <n v="7.1066006600660074"/>
    <n v="2.4392095852876974"/>
  </r>
  <r>
    <s v="C003"/>
    <x v="1"/>
    <x v="1"/>
    <x v="2"/>
    <x v="2"/>
    <x v="0"/>
    <d v="2026-02-28T00:00:00"/>
    <n v="40379"/>
    <n v="1881"/>
    <n v="444"/>
    <n v="46"/>
    <n v="1195.5899999999999"/>
    <n v="1874.11"/>
    <n v="4.6583620198618093E-2"/>
    <n v="2.4455077086656035E-2"/>
    <n v="2.69277027027027"/>
    <n v="0.56751896553166226"/>
  </r>
  <r>
    <s v="C004"/>
    <x v="2"/>
    <x v="2"/>
    <x v="0"/>
    <x v="3"/>
    <x v="2"/>
    <d v="2026-04-22T00:00:00"/>
    <n v="115647"/>
    <n v="8527"/>
    <n v="2296"/>
    <n v="275"/>
    <n v="7798.37"/>
    <n v="20575.46"/>
    <n v="7.3732997829602145E-2"/>
    <n v="3.2250498416793713E-2"/>
    <n v="3.3965026132404179"/>
    <n v="1.6384308515753934"/>
  </r>
  <r>
    <s v="C005"/>
    <x v="3"/>
    <x v="3"/>
    <x v="0"/>
    <x v="4"/>
    <x v="1"/>
    <d v="2026-03-28T00:00:00"/>
    <n v="112349"/>
    <n v="2139"/>
    <n v="146"/>
    <n v="62"/>
    <n v="2209.2399999999998"/>
    <n v="5080.53"/>
    <n v="1.9038887751559871E-2"/>
    <n v="2.8985507246376812E-2"/>
    <n v="15.131780821917808"/>
    <n v="1.2996731907805401"/>
  </r>
  <r>
    <s v="C006"/>
    <x v="0"/>
    <x v="1"/>
    <x v="3"/>
    <x v="5"/>
    <x v="0"/>
    <d v="2026-03-05T00:00:00"/>
    <n v="79429"/>
    <n v="6977"/>
    <n v="766"/>
    <n v="209"/>
    <n v="3164.53"/>
    <n v="11856.44"/>
    <n v="8.7839454103664907E-2"/>
    <n v="2.9955568295829151E-2"/>
    <n v="4.1312402088772853"/>
    <n v="2.7466669616025126"/>
  </r>
  <r>
    <s v="C007"/>
    <x v="0"/>
    <x v="2"/>
    <x v="1"/>
    <x v="6"/>
    <x v="1"/>
    <d v="2026-04-09T00:00:00"/>
    <n v="52087"/>
    <n v="2338"/>
    <n v="573"/>
    <n v="214"/>
    <n v="2524.61"/>
    <n v="11907.29"/>
    <n v="4.4886439994624376E-2"/>
    <n v="9.153122326775022E-2"/>
    <n v="4.4059511343804543"/>
    <n v="3.7164869029275809"/>
  </r>
  <r>
    <s v="C008"/>
    <x v="3"/>
    <x v="1"/>
    <x v="0"/>
    <x v="7"/>
    <x v="2"/>
    <d v="2026-04-26T00:00:00"/>
    <n v="50021"/>
    <n v="1262"/>
    <n v="261"/>
    <n v="71"/>
    <n v="2508.06"/>
    <n v="5020.47"/>
    <n v="2.5229403650466803E-2"/>
    <n v="5.6259904912836764E-2"/>
    <n v="9.6094252873563217"/>
    <n v="1.0017344082677448"/>
  </r>
  <r>
    <s v="C009"/>
    <x v="4"/>
    <x v="4"/>
    <x v="0"/>
    <x v="8"/>
    <x v="3"/>
    <d v="2026-02-24T00:00:00"/>
    <n v="85435"/>
    <n v="7482"/>
    <n v="2733"/>
    <n v="959"/>
    <n v="1571.54"/>
    <n v="2719.7"/>
    <n v="8.7575349681044065E-2"/>
    <n v="0.12817428495054797"/>
    <n v="0.57502378338821802"/>
    <n v="0.7305954668668948"/>
  </r>
  <r>
    <s v="C010"/>
    <x v="3"/>
    <x v="2"/>
    <x v="0"/>
    <x v="9"/>
    <x v="2"/>
    <d v="2026-05-01T00:00:00"/>
    <n v="76155"/>
    <n v="8354"/>
    <n v="2490"/>
    <n v="837"/>
    <n v="3214.97"/>
    <n v="16042.18"/>
    <n v="0.10969732781826538"/>
    <n v="0.10019152501795547"/>
    <n v="1.291152610441767"/>
    <n v="3.9898381633421156"/>
  </r>
  <r>
    <s v="C011"/>
    <x v="5"/>
    <x v="2"/>
    <x v="2"/>
    <x v="10"/>
    <x v="3"/>
    <d v="2026-01-20T00:00:00"/>
    <n v="34371"/>
    <n v="1626"/>
    <n v="263"/>
    <n v="121"/>
    <n v="5603.61"/>
    <n v="19424.099999999999"/>
    <n v="4.730732303395304E-2"/>
    <n v="7.441574415744158E-2"/>
    <n v="21.306501901140685"/>
    <n v="2.4663547249005551"/>
  </r>
  <r>
    <s v="C012"/>
    <x v="6"/>
    <x v="5"/>
    <x v="2"/>
    <x v="11"/>
    <x v="1"/>
    <d v="2026-03-24T00:00:00"/>
    <n v="92512"/>
    <n v="1188"/>
    <n v="448"/>
    <n v="204"/>
    <n v="1359.14"/>
    <n v="6200.66"/>
    <n v="1.2841577308889657E-2"/>
    <n v="0.17171717171717171"/>
    <n v="3.033794642857143"/>
    <n v="3.5621937401592176"/>
  </r>
  <r>
    <s v="C013"/>
    <x v="7"/>
    <x v="4"/>
    <x v="0"/>
    <x v="12"/>
    <x v="3"/>
    <d v="2026-01-31T00:00:00"/>
    <n v="76985"/>
    <n v="3591"/>
    <n v="1029"/>
    <n v="21"/>
    <n v="7653.62"/>
    <n v="34657.440000000002"/>
    <n v="4.6645450412418001E-2"/>
    <n v="5.8479532163742687E-3"/>
    <n v="7.4379203109815357"/>
    <n v="3.5282415379911733"/>
  </r>
  <r>
    <s v="C014"/>
    <x v="7"/>
    <x v="2"/>
    <x v="1"/>
    <x v="1"/>
    <x v="1"/>
    <d v="2026-03-16T00:00:00"/>
    <n v="101959"/>
    <n v="5889"/>
    <n v="2179"/>
    <n v="427"/>
    <n v="1646.29"/>
    <n v="6745.74"/>
    <n v="5.7758510773938544E-2"/>
    <n v="7.2508065885549325E-2"/>
    <n v="0.75552547039926565"/>
    <n v="3.0975405305262136"/>
  </r>
  <r>
    <s v="C015"/>
    <x v="3"/>
    <x v="2"/>
    <x v="3"/>
    <x v="13"/>
    <x v="1"/>
    <d v="2026-04-04T00:00:00"/>
    <n v="84042"/>
    <n v="1319"/>
    <n v="157"/>
    <n v="43"/>
    <n v="7090.41"/>
    <n v="30916.52"/>
    <n v="1.5694533685538182E-2"/>
    <n v="3.2600454890068235E-2"/>
    <n v="45.161847133757959"/>
    <n v="3.3603289513582433"/>
  </r>
  <r>
    <s v="C016"/>
    <x v="7"/>
    <x v="1"/>
    <x v="3"/>
    <x v="14"/>
    <x v="3"/>
    <d v="2026-02-25T00:00:00"/>
    <n v="30322"/>
    <n v="1350"/>
    <n v="474"/>
    <n v="144"/>
    <n v="6620.17"/>
    <n v="32547.01"/>
    <n v="4.452212914715388E-2"/>
    <n v="0.10666666666666667"/>
    <n v="13.966603375527427"/>
    <n v="3.9163405169353651"/>
  </r>
  <r>
    <s v="C017"/>
    <x v="3"/>
    <x v="1"/>
    <x v="1"/>
    <x v="15"/>
    <x v="1"/>
    <d v="2026-04-17T00:00:00"/>
    <n v="92063"/>
    <n v="3705"/>
    <n v="642"/>
    <n v="290"/>
    <n v="7043.25"/>
    <n v="19776.91"/>
    <n v="4.024418061544812E-2"/>
    <n v="7.8272604588394065E-2"/>
    <n v="10.970794392523365"/>
    <n v="1.8079238987683242"/>
  </r>
  <r>
    <s v="C018"/>
    <x v="8"/>
    <x v="2"/>
    <x v="1"/>
    <x v="16"/>
    <x v="2"/>
    <d v="2026-04-18T00:00:00"/>
    <n v="72296"/>
    <n v="6502"/>
    <n v="1629"/>
    <n v="468"/>
    <n v="7247.11"/>
    <n v="21130.02"/>
    <n v="8.9935819409095938E-2"/>
    <n v="7.1977852968317435E-2"/>
    <n v="4.4488090853284223"/>
    <n v="1.9156477547601733"/>
  </r>
  <r>
    <s v="C019"/>
    <x v="8"/>
    <x v="1"/>
    <x v="3"/>
    <x v="2"/>
    <x v="0"/>
    <d v="2026-02-20T00:00:00"/>
    <n v="97110"/>
    <n v="10075"/>
    <n v="1042"/>
    <n v="321"/>
    <n v="2151.63"/>
    <n v="3162.41"/>
    <n v="0.1037483266398929"/>
    <n v="3.1861042183622831E-2"/>
    <n v="2.0649040307101729"/>
    <n v="0.46977407825694922"/>
  </r>
  <r>
    <s v="C020"/>
    <x v="1"/>
    <x v="1"/>
    <x v="3"/>
    <x v="17"/>
    <x v="2"/>
    <d v="2026-05-04T00:00:00"/>
    <n v="63309"/>
    <n v="1580"/>
    <n v="626"/>
    <n v="141"/>
    <n v="2588.58"/>
    <n v="7881.13"/>
    <n v="2.4956957146693205E-2"/>
    <n v="8.9240506329113928E-2"/>
    <n v="4.1351118210862623"/>
    <n v="2.0445765632122632"/>
  </r>
  <r>
    <s v="C021"/>
    <x v="3"/>
    <x v="1"/>
    <x v="2"/>
    <x v="0"/>
    <x v="0"/>
    <d v="2026-02-23T00:00:00"/>
    <n v="73354"/>
    <n v="2559"/>
    <n v="196"/>
    <n v="32"/>
    <n v="5442.37"/>
    <n v="13858.07"/>
    <n v="3.4885623142568913E-2"/>
    <n v="1.2504884720593983E-2"/>
    <n v="27.767193877551019"/>
    <n v="1.5463299996141389"/>
  </r>
  <r>
    <s v="C022"/>
    <x v="6"/>
    <x v="5"/>
    <x v="3"/>
    <x v="18"/>
    <x v="1"/>
    <d v="2026-04-24T00:00:00"/>
    <n v="104696"/>
    <n v="2612"/>
    <n v="162"/>
    <n v="45"/>
    <n v="5961.6"/>
    <n v="25290.61"/>
    <n v="2.4948422098265453E-2"/>
    <n v="1.7228177641653904E-2"/>
    <n v="36.800000000000004"/>
    <n v="3.2422520799785293"/>
  </r>
  <r>
    <s v="C023"/>
    <x v="0"/>
    <x v="1"/>
    <x v="1"/>
    <x v="19"/>
    <x v="3"/>
    <d v="2026-02-18T00:00:00"/>
    <n v="78800"/>
    <n v="3296"/>
    <n v="964"/>
    <n v="113"/>
    <n v="2589.09"/>
    <n v="5564.64"/>
    <n v="4.1827411167512693E-2"/>
    <n v="3.428398058252427E-2"/>
    <n v="2.6857780082987555"/>
    <n v="1.1492647996014043"/>
  </r>
  <r>
    <s v="C024"/>
    <x v="0"/>
    <x v="5"/>
    <x v="3"/>
    <x v="20"/>
    <x v="3"/>
    <d v="2026-02-03T00:00:00"/>
    <n v="90855"/>
    <n v="1241"/>
    <n v="147"/>
    <n v="68"/>
    <n v="6865.22"/>
    <n v="12576.96"/>
    <n v="1.36591271806725E-2"/>
    <n v="5.4794520547945202E-2"/>
    <n v="46.702176870748303"/>
    <n v="0.83198207777755095"/>
  </r>
  <r>
    <s v="C025"/>
    <x v="9"/>
    <x v="5"/>
    <x v="1"/>
    <x v="21"/>
    <x v="2"/>
    <d v="2026-05-10T00:00:00"/>
    <n v="27685"/>
    <n v="1674"/>
    <n v="488"/>
    <n v="20"/>
    <n v="7889.82"/>
    <n v="17418.919999999998"/>
    <n v="6.046595629402203E-2"/>
    <n v="1.1947431302270013E-2"/>
    <n v="16.16766393442623"/>
    <n v="1.2077715334443624"/>
  </r>
  <r>
    <s v="C026"/>
    <x v="9"/>
    <x v="3"/>
    <x v="2"/>
    <x v="22"/>
    <x v="1"/>
    <d v="2026-04-30T00:00:00"/>
    <n v="92845"/>
    <n v="8973"/>
    <n v="734"/>
    <n v="117"/>
    <n v="2725.31"/>
    <n v="13302.5"/>
    <n v="9.664494587753783E-2"/>
    <n v="1.3039117352056168E-2"/>
    <n v="3.7129564032697546"/>
    <n v="3.8810960954900544"/>
  </r>
  <r>
    <s v="C027"/>
    <x v="4"/>
    <x v="4"/>
    <x v="3"/>
    <x v="9"/>
    <x v="2"/>
    <d v="2026-04-23T00:00:00"/>
    <n v="27492"/>
    <n v="1205"/>
    <n v="399"/>
    <n v="142"/>
    <n v="4271.38"/>
    <n v="18966.36"/>
    <n v="4.3830932634948347E-2"/>
    <n v="0.11784232365145228"/>
    <n v="10.705213032581455"/>
    <n v="3.44033544194148"/>
  </r>
  <r>
    <s v="C028"/>
    <x v="5"/>
    <x v="0"/>
    <x v="3"/>
    <x v="23"/>
    <x v="2"/>
    <d v="2026-05-01T00:00:00"/>
    <n v="28981"/>
    <n v="3437"/>
    <n v="239"/>
    <n v="106"/>
    <n v="6963.64"/>
    <n v="19041.009999999998"/>
    <n v="0.11859494151340534"/>
    <n v="3.0840849578120454E-2"/>
    <n v="29.136569037656905"/>
    <n v="1.7343472666593907"/>
  </r>
  <r>
    <s v="C029"/>
    <x v="4"/>
    <x v="1"/>
    <x v="3"/>
    <x v="24"/>
    <x v="1"/>
    <d v="2026-03-30T00:00:00"/>
    <n v="74948"/>
    <n v="6385"/>
    <n v="2490"/>
    <n v="1177"/>
    <n v="4420.87"/>
    <n v="21007.46"/>
    <n v="8.519240006404441E-2"/>
    <n v="0.18433829287392325"/>
    <n v="1.775449799196787"/>
    <n v="3.7518836790043588"/>
  </r>
  <r>
    <s v="C030"/>
    <x v="8"/>
    <x v="4"/>
    <x v="0"/>
    <x v="14"/>
    <x v="3"/>
    <d v="2026-02-15T00:00:00"/>
    <n v="71876"/>
    <n v="2072"/>
    <n v="787"/>
    <n v="350"/>
    <n v="2749.98"/>
    <n v="6604"/>
    <n v="2.8827425009738995E-2"/>
    <n v="0.16891891891891891"/>
    <n v="3.4942566709021601"/>
    <n v="1.4014720107055323"/>
  </r>
  <r>
    <s v="C031"/>
    <x v="0"/>
    <x v="0"/>
    <x v="2"/>
    <x v="24"/>
    <x v="1"/>
    <d v="2026-04-15T00:00:00"/>
    <n v="33104"/>
    <n v="1300"/>
    <n v="375"/>
    <n v="74"/>
    <n v="4294.1400000000003"/>
    <n v="7314.36"/>
    <n v="3.9270178830352824E-2"/>
    <n v="5.6923076923076923E-2"/>
    <n v="11.451040000000001"/>
    <n v="0.70333524291243399"/>
  </r>
  <r>
    <s v="C032"/>
    <x v="2"/>
    <x v="0"/>
    <x v="1"/>
    <x v="25"/>
    <x v="0"/>
    <d v="2026-03-05T00:00:00"/>
    <n v="40676"/>
    <n v="2794"/>
    <n v="953"/>
    <n v="298"/>
    <n v="5776.55"/>
    <n v="20358.73"/>
    <n v="6.86891533090766E-2"/>
    <n v="0.1066571224051539"/>
    <n v="6.0614375655823718"/>
    <n v="2.5243752758999749"/>
  </r>
  <r>
    <s v="C033"/>
    <x v="3"/>
    <x v="0"/>
    <x v="0"/>
    <x v="26"/>
    <x v="2"/>
    <d v="2026-05-28T00:00:00"/>
    <n v="33577"/>
    <n v="1550"/>
    <n v="370"/>
    <n v="49"/>
    <n v="7172.85"/>
    <n v="28843.35"/>
    <n v="4.6162551746731395E-2"/>
    <n v="3.1612903225806455E-2"/>
    <n v="19.38608108108108"/>
    <n v="3.0211840481816847"/>
  </r>
  <r>
    <s v="C034"/>
    <x v="5"/>
    <x v="3"/>
    <x v="0"/>
    <x v="27"/>
    <x v="1"/>
    <d v="2026-04-01T00:00:00"/>
    <n v="114058"/>
    <n v="6617"/>
    <n v="933"/>
    <n v="371"/>
    <n v="5256.78"/>
    <n v="11581.42"/>
    <n v="5.8014343579582316E-2"/>
    <n v="5.6067704397763339E-2"/>
    <n v="5.6342765273311892"/>
    <n v="1.2031395645242906"/>
  </r>
  <r>
    <s v="C035"/>
    <x v="9"/>
    <x v="3"/>
    <x v="3"/>
    <x v="10"/>
    <x v="3"/>
    <d v="2026-02-08T00:00:00"/>
    <n v="75518"/>
    <n v="7794"/>
    <n v="1233"/>
    <n v="65"/>
    <n v="526.59"/>
    <n v="2174.9499999999998"/>
    <n v="0.10320718239360152"/>
    <n v="8.3397485245060299E-3"/>
    <n v="0.42708029197080294"/>
    <n v="3.1302531381150414"/>
  </r>
  <r>
    <s v="C036"/>
    <x v="7"/>
    <x v="1"/>
    <x v="2"/>
    <x v="28"/>
    <x v="1"/>
    <d v="2026-04-10T00:00:00"/>
    <n v="76057"/>
    <n v="5594"/>
    <n v="139"/>
    <n v="27"/>
    <n v="1064.33"/>
    <n v="4848.88"/>
    <n v="7.3550100582457895E-2"/>
    <n v="4.8265999284948157E-3"/>
    <n v="7.6570503597122297"/>
    <n v="3.555805060460572"/>
  </r>
  <r>
    <s v="C037"/>
    <x v="5"/>
    <x v="2"/>
    <x v="3"/>
    <x v="29"/>
    <x v="2"/>
    <d v="2026-05-05T00:00:00"/>
    <n v="96350"/>
    <n v="10052"/>
    <n v="706"/>
    <n v="240"/>
    <n v="1455.84"/>
    <n v="3452.35"/>
    <n v="0.10432797093928387"/>
    <n v="2.3875845602865101E-2"/>
    <n v="2.062096317280453"/>
    <n v="1.3713800967139247"/>
  </r>
  <r>
    <s v="C038"/>
    <x v="1"/>
    <x v="3"/>
    <x v="1"/>
    <x v="30"/>
    <x v="1"/>
    <d v="2026-04-12T00:00:00"/>
    <n v="107416"/>
    <n v="2684"/>
    <n v="462"/>
    <n v="219"/>
    <n v="4699.13"/>
    <n v="21258.43"/>
    <n v="2.4986966559916585E-2"/>
    <n v="8.1594634873323399E-2"/>
    <n v="10.171277056277056"/>
    <n v="3.5239076169418593"/>
  </r>
  <r>
    <s v="C039"/>
    <x v="4"/>
    <x v="4"/>
    <x v="1"/>
    <x v="31"/>
    <x v="2"/>
    <d v="2026-05-13T00:00:00"/>
    <n v="41299"/>
    <n v="4276"/>
    <n v="462"/>
    <n v="125"/>
    <n v="685.9"/>
    <n v="2742.88"/>
    <n v="0.1035376159229037"/>
    <n v="2.9232927970065482E-2"/>
    <n v="1.4846320346320345"/>
    <n v="2.9989502842980027"/>
  </r>
  <r>
    <s v="C040"/>
    <x v="2"/>
    <x v="5"/>
    <x v="1"/>
    <x v="32"/>
    <x v="0"/>
    <d v="2026-02-16T00:00:00"/>
    <n v="111917"/>
    <n v="2771"/>
    <n v="491"/>
    <n v="243"/>
    <n v="790.43"/>
    <n v="2362.3000000000002"/>
    <n v="2.4759419927267528E-2"/>
    <n v="8.7693973294839411E-2"/>
    <n v="1.6098370672097759"/>
    <n v="1.9886264438343693"/>
  </r>
  <r>
    <s v="C041"/>
    <x v="8"/>
    <x v="5"/>
    <x v="0"/>
    <x v="33"/>
    <x v="0"/>
    <d v="2026-02-23T00:00:00"/>
    <n v="49219"/>
    <n v="1193"/>
    <n v="437"/>
    <n v="69"/>
    <n v="3488.49"/>
    <n v="7879.42"/>
    <n v="2.4238607041995978E-2"/>
    <n v="5.7837384744341996E-2"/>
    <n v="7.9828146453089239"/>
    <n v="1.2586907229202322"/>
  </r>
  <r>
    <s v="C042"/>
    <x v="0"/>
    <x v="3"/>
    <x v="0"/>
    <x v="34"/>
    <x v="1"/>
    <d v="2026-04-16T00:00:00"/>
    <n v="72386"/>
    <n v="6566"/>
    <n v="2296"/>
    <n v="698"/>
    <n v="7544.28"/>
    <n v="12359.78"/>
    <n v="9.070814798441687E-2"/>
    <n v="0.10630520865062443"/>
    <n v="3.2858362369337977"/>
    <n v="0.63829815436330584"/>
  </r>
  <r>
    <s v="C043"/>
    <x v="7"/>
    <x v="1"/>
    <x v="0"/>
    <x v="35"/>
    <x v="3"/>
    <d v="2026-01-15T00:00:00"/>
    <n v="98193"/>
    <n v="8119"/>
    <n v="1515"/>
    <n v="341"/>
    <n v="3772.95"/>
    <n v="18638.740000000002"/>
    <n v="8.2684101718045078E-2"/>
    <n v="4.2000246335755637E-2"/>
    <n v="2.4903960396039602"/>
    <n v="3.9400972713659077"/>
  </r>
  <r>
    <s v="C044"/>
    <x v="0"/>
    <x v="5"/>
    <x v="1"/>
    <x v="36"/>
    <x v="0"/>
    <d v="2026-02-10T00:00:00"/>
    <n v="112901"/>
    <n v="8144"/>
    <n v="106"/>
    <n v="53"/>
    <n v="7441.81"/>
    <n v="24156.99"/>
    <n v="7.2133993498728968E-2"/>
    <n v="6.5078585461689591E-3"/>
    <n v="70.205754716981133"/>
    <n v="2.2461175439845951"/>
  </r>
  <r>
    <s v="C045"/>
    <x v="8"/>
    <x v="3"/>
    <x v="2"/>
    <x v="37"/>
    <x v="3"/>
    <d v="2026-02-06T00:00:00"/>
    <n v="63279"/>
    <n v="6104"/>
    <n v="1385"/>
    <n v="147"/>
    <n v="5898.16"/>
    <n v="13808.92"/>
    <n v="9.6461701354319765E-2"/>
    <n v="2.4082568807339451E-2"/>
    <n v="4.2585992779783393"/>
    <n v="1.3412250600187177"/>
  </r>
  <r>
    <s v="C046"/>
    <x v="7"/>
    <x v="4"/>
    <x v="2"/>
    <x v="38"/>
    <x v="0"/>
    <d v="2026-03-02T00:00:00"/>
    <n v="111384"/>
    <n v="5844"/>
    <n v="621"/>
    <n v="118"/>
    <n v="3653.35"/>
    <n v="17438.830000000002"/>
    <n v="5.2467140702434821E-2"/>
    <n v="2.0191649555099247E-2"/>
    <n v="5.8830112721417072"/>
    <n v="3.7733805958914424"/>
  </r>
  <r>
    <s v="C047"/>
    <x v="5"/>
    <x v="2"/>
    <x v="0"/>
    <x v="39"/>
    <x v="0"/>
    <d v="2026-03-17T00:00:00"/>
    <n v="20053"/>
    <n v="1622"/>
    <n v="393"/>
    <n v="73"/>
    <n v="3724.16"/>
    <n v="12676.83"/>
    <n v="8.0885653019498335E-2"/>
    <n v="4.5006165228113439E-2"/>
    <n v="9.4762340966921119"/>
    <n v="2.4039434395944324"/>
  </r>
  <r>
    <s v="C048"/>
    <x v="2"/>
    <x v="5"/>
    <x v="2"/>
    <x v="40"/>
    <x v="0"/>
    <d v="2026-03-26T00:00:00"/>
    <n v="48010"/>
    <n v="5187"/>
    <n v="1069"/>
    <n v="193"/>
    <n v="5441.38"/>
    <n v="12397.58"/>
    <n v="0.10803999166840242"/>
    <n v="3.7208405629458263E-2"/>
    <n v="5.0901590271281574"/>
    <n v="1.2783889381002613"/>
  </r>
  <r>
    <s v="C049"/>
    <x v="4"/>
    <x v="3"/>
    <x v="3"/>
    <x v="41"/>
    <x v="2"/>
    <d v="2026-04-29T00:00:00"/>
    <n v="108184"/>
    <n v="6085"/>
    <n v="1020"/>
    <n v="432"/>
    <n v="1993.47"/>
    <n v="2577.19"/>
    <n v="5.6246764771130664E-2"/>
    <n v="7.0994248151191458E-2"/>
    <n v="1.9543823529411766"/>
    <n v="0.29281604438491676"/>
  </r>
  <r>
    <s v="C050"/>
    <x v="8"/>
    <x v="5"/>
    <x v="3"/>
    <x v="42"/>
    <x v="0"/>
    <d v="2026-03-20T00:00:00"/>
    <n v="102544"/>
    <n v="10431"/>
    <n v="896"/>
    <n v="387"/>
    <n v="5722.66"/>
    <n v="17617.97"/>
    <n v="0.10172218754875956"/>
    <n v="3.7100949094046591E-2"/>
    <n v="6.3868973214285711"/>
    <n v="2.0786330133189814"/>
  </r>
  <r>
    <s v="C051"/>
    <x v="8"/>
    <x v="1"/>
    <x v="3"/>
    <x v="43"/>
    <x v="2"/>
    <d v="2026-05-05T00:00:00"/>
    <n v="75724"/>
    <n v="2792"/>
    <n v="280"/>
    <n v="122"/>
    <n v="7684.75"/>
    <n v="24347.13"/>
    <n v="3.6870741112461046E-2"/>
    <n v="4.3696275071633241E-2"/>
    <n v="27.445535714285715"/>
    <n v="2.1682396955008296"/>
  </r>
  <r>
    <s v="C052"/>
    <x v="1"/>
    <x v="2"/>
    <x v="1"/>
    <x v="44"/>
    <x v="2"/>
    <d v="2026-05-08T00:00:00"/>
    <n v="79829"/>
    <n v="3184"/>
    <n v="1051"/>
    <n v="361"/>
    <n v="4483.49"/>
    <n v="14902.74"/>
    <n v="3.9885254731989631E-2"/>
    <n v="0.11337939698492462"/>
    <n v="4.2659276879162702"/>
    <n v="2.3239150750865956"/>
  </r>
  <r>
    <s v="C053"/>
    <x v="2"/>
    <x v="5"/>
    <x v="2"/>
    <x v="29"/>
    <x v="2"/>
    <d v="2026-05-11T00:00:00"/>
    <n v="78446"/>
    <n v="3607"/>
    <n v="1072"/>
    <n v="480"/>
    <n v="2443.94"/>
    <n v="5228.84"/>
    <n v="4.5980674604186318E-2"/>
    <n v="0.13307457721097865"/>
    <n v="2.2797947761194028"/>
    <n v="1.1395124266553189"/>
  </r>
  <r>
    <s v="C054"/>
    <x v="7"/>
    <x v="2"/>
    <x v="2"/>
    <x v="45"/>
    <x v="1"/>
    <d v="2026-04-05T00:00:00"/>
    <n v="55992"/>
    <n v="4603"/>
    <n v="258"/>
    <n v="111"/>
    <n v="2642.96"/>
    <n v="5900.45"/>
    <n v="8.2208172596085149E-2"/>
    <n v="2.4114707799261351E-2"/>
    <n v="10.244031007751937"/>
    <n v="1.2325158156006901"/>
  </r>
  <r>
    <s v="C055"/>
    <x v="2"/>
    <x v="2"/>
    <x v="3"/>
    <x v="46"/>
    <x v="3"/>
    <d v="2026-01-29T00:00:00"/>
    <n v="50311"/>
    <n v="4137"/>
    <n v="1521"/>
    <n v="176"/>
    <n v="5798.14"/>
    <n v="8372.92"/>
    <n v="8.2228538490588546E-2"/>
    <n v="4.2542905487067927E-2"/>
    <n v="3.8120578566732415"/>
    <n v="0.4440699948604207"/>
  </r>
  <r>
    <s v="C056"/>
    <x v="6"/>
    <x v="3"/>
    <x v="2"/>
    <x v="47"/>
    <x v="0"/>
    <d v="2026-03-03T00:00:00"/>
    <n v="47110"/>
    <n v="4441"/>
    <n v="897"/>
    <n v="414"/>
    <n v="4880.6000000000004"/>
    <n v="18756.080000000002"/>
    <n v="9.4268732753130968E-2"/>
    <n v="9.3222247241612252E-2"/>
    <n v="5.4410256410256412"/>
    <n v="2.8429865180510592"/>
  </r>
  <r>
    <s v="C057"/>
    <x v="4"/>
    <x v="5"/>
    <x v="2"/>
    <x v="48"/>
    <x v="3"/>
    <d v="2026-01-19T00:00:00"/>
    <n v="59139"/>
    <n v="4194"/>
    <n v="958"/>
    <n v="295"/>
    <n v="6106.37"/>
    <n v="20000.21"/>
    <n v="7.0917668543600668E-2"/>
    <n v="7.0338578922269912E-2"/>
    <n v="6.3740814196242166"/>
    <n v="2.2753026757304258"/>
  </r>
  <r>
    <s v="C058"/>
    <x v="4"/>
    <x v="1"/>
    <x v="2"/>
    <x v="49"/>
    <x v="3"/>
    <d v="2026-02-13T00:00:00"/>
    <n v="77125"/>
    <n v="8956"/>
    <n v="218"/>
    <n v="69"/>
    <n v="3020.97"/>
    <n v="11421.5"/>
    <n v="0.11612317666126418"/>
    <n v="7.7043322912014288E-3"/>
    <n v="13.857660550458714"/>
    <n v="2.7807392989668887"/>
  </r>
  <r>
    <s v="C059"/>
    <x v="6"/>
    <x v="4"/>
    <x v="1"/>
    <x v="7"/>
    <x v="2"/>
    <d v="2026-05-09T00:00:00"/>
    <n v="36728"/>
    <n v="3548"/>
    <n v="1193"/>
    <n v="47"/>
    <n v="7301.97"/>
    <n v="25185.9"/>
    <n v="9.6602047484208239E-2"/>
    <n v="1.3246899661781286E-2"/>
    <n v="6.120678960603521"/>
    <n v="2.4491924781942407"/>
  </r>
  <r>
    <s v="C060"/>
    <x v="1"/>
    <x v="0"/>
    <x v="2"/>
    <x v="46"/>
    <x v="3"/>
    <d v="2026-02-08T00:00:00"/>
    <n v="43819"/>
    <n v="1411"/>
    <n v="233"/>
    <n v="68"/>
    <n v="2955.15"/>
    <n v="8652.26"/>
    <n v="3.2200643556448118E-2"/>
    <n v="4.8192771084337352E-2"/>
    <n v="12.68304721030043"/>
    <n v="1.9278581459485984"/>
  </r>
  <r>
    <s v="C061"/>
    <x v="2"/>
    <x v="5"/>
    <x v="0"/>
    <x v="50"/>
    <x v="2"/>
    <d v="2026-04-27T00:00:00"/>
    <n v="53065"/>
    <n v="1670"/>
    <n v="581"/>
    <n v="29"/>
    <n v="6117.68"/>
    <n v="8552.06"/>
    <n v="3.1470837651936305E-2"/>
    <n v="1.7365269461077845E-2"/>
    <n v="10.529569707401032"/>
    <n v="0.3979253573249989"/>
  </r>
  <r>
    <s v="C062"/>
    <x v="2"/>
    <x v="1"/>
    <x v="3"/>
    <x v="51"/>
    <x v="2"/>
    <d v="2026-05-07T00:00:00"/>
    <n v="25276"/>
    <n v="2544"/>
    <n v="131"/>
    <n v="35"/>
    <n v="1995.21"/>
    <n v="2548.77"/>
    <n v="0.10064883684127235"/>
    <n v="1.3757861635220126E-2"/>
    <n v="15.230610687022901"/>
    <n v="0.27744447952847068"/>
  </r>
  <r>
    <s v="C063"/>
    <x v="5"/>
    <x v="1"/>
    <x v="1"/>
    <x v="52"/>
    <x v="1"/>
    <d v="2026-03-30T00:00:00"/>
    <n v="34993"/>
    <n v="3310"/>
    <n v="546"/>
    <n v="139"/>
    <n v="5745.99"/>
    <n v="23640.23"/>
    <n v="9.4590346640756717E-2"/>
    <n v="4.1993957703927491E-2"/>
    <n v="10.523791208791208"/>
    <n v="3.114213564590262"/>
  </r>
  <r>
    <s v="C064"/>
    <x v="5"/>
    <x v="2"/>
    <x v="3"/>
    <x v="51"/>
    <x v="2"/>
    <d v="2026-04-22T00:00:00"/>
    <n v="60768"/>
    <n v="1885"/>
    <n v="692"/>
    <n v="33"/>
    <n v="7466.65"/>
    <n v="25297.22"/>
    <n v="3.1019615587151134E-2"/>
    <n v="1.7506631299734749E-2"/>
    <n v="10.789956647398844"/>
    <n v="2.388028098277005"/>
  </r>
  <r>
    <s v="C065"/>
    <x v="6"/>
    <x v="5"/>
    <x v="1"/>
    <x v="53"/>
    <x v="3"/>
    <d v="2026-02-04T00:00:00"/>
    <n v="110520"/>
    <n v="11276"/>
    <n v="2089"/>
    <n v="228"/>
    <n v="5728.95"/>
    <n v="13440.2"/>
    <n v="0.10202678248280854"/>
    <n v="2.0219936147570061E-2"/>
    <n v="2.7424365725227382"/>
    <n v="1.3460145401862473"/>
  </r>
  <r>
    <s v="C066"/>
    <x v="4"/>
    <x v="0"/>
    <x v="3"/>
    <x v="54"/>
    <x v="0"/>
    <d v="2026-03-10T00:00:00"/>
    <n v="76148"/>
    <n v="6419"/>
    <n v="1617"/>
    <n v="90"/>
    <n v="4294.71"/>
    <n v="10722.51"/>
    <n v="8.4296370226401213E-2"/>
    <n v="1.4020875525782833E-2"/>
    <n v="2.6559740259740261"/>
    <n v="1.4966784718875081"/>
  </r>
  <r>
    <s v="C067"/>
    <x v="6"/>
    <x v="5"/>
    <x v="3"/>
    <x v="55"/>
    <x v="0"/>
    <d v="2026-03-15T00:00:00"/>
    <n v="103307"/>
    <n v="8532"/>
    <n v="2997"/>
    <n v="333"/>
    <n v="3766.15"/>
    <n v="15021"/>
    <n v="8.2588788755844231E-2"/>
    <n v="3.9029535864978905E-2"/>
    <n v="1.25663997330664"/>
    <n v="2.9884231907916572"/>
  </r>
  <r>
    <s v="C068"/>
    <x v="7"/>
    <x v="2"/>
    <x v="2"/>
    <x v="56"/>
    <x v="1"/>
    <d v="2026-03-21T00:00:00"/>
    <n v="115817"/>
    <n v="10707"/>
    <n v="2298"/>
    <n v="680"/>
    <n v="6887.85"/>
    <n v="30008.83"/>
    <n v="9.2447568146299772E-2"/>
    <n v="6.3509853366956193E-2"/>
    <n v="2.9973237597911231"/>
    <n v="3.3567775140283254"/>
  </r>
  <r>
    <s v="C069"/>
    <x v="0"/>
    <x v="3"/>
    <x v="2"/>
    <x v="0"/>
    <x v="0"/>
    <d v="2026-02-22T00:00:00"/>
    <n v="94691"/>
    <n v="10999"/>
    <n v="3204"/>
    <n v="708"/>
    <n v="715.25"/>
    <n v="3171.15"/>
    <n v="0.1161567625223094"/>
    <n v="6.4369488135285022E-2"/>
    <n v="0.22323657927590512"/>
    <n v="3.433624606780846"/>
  </r>
  <r>
    <s v="C070"/>
    <x v="5"/>
    <x v="5"/>
    <x v="1"/>
    <x v="57"/>
    <x v="0"/>
    <d v="2026-03-02T00:00:00"/>
    <n v="64608"/>
    <n v="3290"/>
    <n v="665"/>
    <n v="304"/>
    <n v="576.13"/>
    <n v="2766.94"/>
    <n v="5.092248637939574E-2"/>
    <n v="9.2401215805471129E-2"/>
    <n v="0.86636090225563911"/>
    <n v="3.802631350563241"/>
  </r>
  <r>
    <s v="C071"/>
    <x v="0"/>
    <x v="1"/>
    <x v="2"/>
    <x v="58"/>
    <x v="1"/>
    <d v="2026-03-28T00:00:00"/>
    <n v="119374"/>
    <n v="4937"/>
    <n v="1514"/>
    <n v="507"/>
    <n v="5344.27"/>
    <n v="16380.83"/>
    <n v="4.1357414512372875E-2"/>
    <n v="0.10269394369050031"/>
    <n v="3.5299009247027744"/>
    <n v="2.0651202128634965"/>
  </r>
  <r>
    <s v="C072"/>
    <x v="1"/>
    <x v="0"/>
    <x v="0"/>
    <x v="49"/>
    <x v="3"/>
    <d v="2026-02-17T00:00:00"/>
    <n v="110673"/>
    <n v="4986"/>
    <n v="727"/>
    <n v="359"/>
    <n v="4861.67"/>
    <n v="14577.18"/>
    <n v="4.5051638611043346E-2"/>
    <n v="7.2001604492579224E-2"/>
    <n v="6.6873039889958736"/>
    <n v="1.9983894423109754"/>
  </r>
  <r>
    <s v="C073"/>
    <x v="3"/>
    <x v="3"/>
    <x v="2"/>
    <x v="9"/>
    <x v="2"/>
    <d v="2026-04-30T00:00:00"/>
    <n v="63357"/>
    <n v="3882"/>
    <n v="1539"/>
    <n v="484"/>
    <n v="2531.87"/>
    <n v="5457.03"/>
    <n v="6.1271840522752023E-2"/>
    <n v="0.12467800103039671"/>
    <n v="1.6451397011046134"/>
    <n v="1.1553357794831489"/>
  </r>
  <r>
    <s v="C074"/>
    <x v="0"/>
    <x v="4"/>
    <x v="1"/>
    <x v="59"/>
    <x v="0"/>
    <d v="2026-02-20T00:00:00"/>
    <n v="117370"/>
    <n v="9779"/>
    <n v="3221"/>
    <n v="1433"/>
    <n v="1888.62"/>
    <n v="3819.28"/>
    <n v="8.3317713214620434E-2"/>
    <n v="0.14653850086920953"/>
    <n v="0.5863458553244334"/>
    <n v="1.0222596393133614"/>
  </r>
  <r>
    <s v="C075"/>
    <x v="9"/>
    <x v="3"/>
    <x v="0"/>
    <x v="60"/>
    <x v="3"/>
    <d v="2026-01-26T00:00:00"/>
    <n v="58829"/>
    <n v="2863"/>
    <n v="839"/>
    <n v="111"/>
    <n v="2767.01"/>
    <n v="10764.97"/>
    <n v="4.8666474017916336E-2"/>
    <n v="3.8770520433112118E-2"/>
    <n v="3.2979856972586417"/>
    <n v="2.890470218755985"/>
  </r>
  <r>
    <s v="C076"/>
    <x v="5"/>
    <x v="3"/>
    <x v="3"/>
    <x v="20"/>
    <x v="3"/>
    <d v="2026-01-31T00:00:00"/>
    <n v="58290"/>
    <n v="6713"/>
    <n v="617"/>
    <n v="271"/>
    <n v="1269.4100000000001"/>
    <n v="1582.46"/>
    <n v="0.11516555155258192"/>
    <n v="4.0369432444510654E-2"/>
    <n v="2.057390599675851"/>
    <n v="0.24661063013525963"/>
  </r>
  <r>
    <s v="C077"/>
    <x v="7"/>
    <x v="5"/>
    <x v="2"/>
    <x v="40"/>
    <x v="0"/>
    <d v="2026-03-15T00:00:00"/>
    <n v="44164"/>
    <n v="1420"/>
    <n v="229"/>
    <n v="81"/>
    <n v="1355.65"/>
    <n v="1963.39"/>
    <n v="3.2152884702472601E-2"/>
    <n v="5.7042253521126761E-2"/>
    <n v="5.9198689956331885"/>
    <n v="0.4483015527606683"/>
  </r>
  <r>
    <s v="C078"/>
    <x v="9"/>
    <x v="0"/>
    <x v="3"/>
    <x v="61"/>
    <x v="3"/>
    <d v="2026-01-31T00:00:00"/>
    <n v="93772"/>
    <n v="5978"/>
    <n v="448"/>
    <n v="83"/>
    <n v="1388.39"/>
    <n v="5699.18"/>
    <n v="6.3750373245744993E-2"/>
    <n v="1.3884242221478755E-2"/>
    <n v="3.0990848214285718"/>
    <n v="3.1048840743595099"/>
  </r>
  <r>
    <s v="C079"/>
    <x v="4"/>
    <x v="2"/>
    <x v="1"/>
    <x v="51"/>
    <x v="2"/>
    <d v="2026-05-03T00:00:00"/>
    <n v="69856"/>
    <n v="4690"/>
    <n v="1006"/>
    <n v="172"/>
    <n v="6951.25"/>
    <n v="34492.93"/>
    <n v="6.7138112688960153E-2"/>
    <n v="3.6673773987206823E-2"/>
    <n v="6.9097912524850891"/>
    <n v="3.9621190433375291"/>
  </r>
  <r>
    <s v="C080"/>
    <x v="7"/>
    <x v="2"/>
    <x v="3"/>
    <x v="62"/>
    <x v="1"/>
    <d v="2026-04-19T00:00:00"/>
    <n v="33006"/>
    <n v="1851"/>
    <n v="740"/>
    <n v="128"/>
    <n v="2484.85"/>
    <n v="3748.43"/>
    <n v="5.6080712597709505E-2"/>
    <n v="6.9151809832522962E-2"/>
    <n v="3.3579054054054054"/>
    <n v="0.50851359236976079"/>
  </r>
  <r>
    <s v="C081"/>
    <x v="8"/>
    <x v="1"/>
    <x v="3"/>
    <x v="63"/>
    <x v="3"/>
    <d v="2026-01-28T00:00:00"/>
    <n v="73545"/>
    <n v="4690"/>
    <n v="1511"/>
    <n v="628"/>
    <n v="4024.34"/>
    <n v="5328.35"/>
    <n v="6.3770480658100481E-2"/>
    <n v="0.13390191897654585"/>
    <n v="2.6633620119126409"/>
    <n v="0.32403077274782949"/>
  </r>
  <r>
    <s v="C082"/>
    <x v="7"/>
    <x v="4"/>
    <x v="0"/>
    <x v="22"/>
    <x v="1"/>
    <d v="2026-04-21T00:00:00"/>
    <n v="29329"/>
    <n v="1956"/>
    <n v="370"/>
    <n v="180"/>
    <n v="4923.42"/>
    <n v="20948.37"/>
    <n v="6.6691670360394154E-2"/>
    <n v="9.202453987730061E-2"/>
    <n v="13.30654054054054"/>
    <n v="3.2548411470075678"/>
  </r>
  <r>
    <s v="C083"/>
    <x v="8"/>
    <x v="5"/>
    <x v="3"/>
    <x v="64"/>
    <x v="1"/>
    <d v="2026-03-25T00:00:00"/>
    <n v="104886"/>
    <n v="3441"/>
    <n v="644"/>
    <n v="92"/>
    <n v="1035.57"/>
    <n v="1895.62"/>
    <n v="3.2807047651736171E-2"/>
    <n v="2.6736413833188026E-2"/>
    <n v="1.608027950310559"/>
    <n v="0.83050880191585308"/>
  </r>
  <r>
    <s v="C084"/>
    <x v="7"/>
    <x v="2"/>
    <x v="0"/>
    <x v="40"/>
    <x v="0"/>
    <d v="2026-03-08T00:00:00"/>
    <n v="81433"/>
    <n v="5982"/>
    <n v="1748"/>
    <n v="298"/>
    <n v="4253.54"/>
    <n v="13085.68"/>
    <n v="7.3459162747289183E-2"/>
    <n v="4.9816115011701773E-2"/>
    <n v="2.4333752860411897"/>
    <n v="2.0764210516416912"/>
  </r>
  <r>
    <s v="C085"/>
    <x v="0"/>
    <x v="2"/>
    <x v="3"/>
    <x v="65"/>
    <x v="2"/>
    <d v="2026-05-14T00:00:00"/>
    <n v="116276"/>
    <n v="6280"/>
    <n v="1125"/>
    <n v="46"/>
    <n v="1184.95"/>
    <n v="5753.24"/>
    <n v="5.4009425848842413E-2"/>
    <n v="7.3248407643312103E-3"/>
    <n v="1.0532888888888889"/>
    <n v="3.8552597155998143"/>
  </r>
  <r>
    <s v="C086"/>
    <x v="4"/>
    <x v="2"/>
    <x v="3"/>
    <x v="66"/>
    <x v="2"/>
    <d v="2026-05-06T00:00:00"/>
    <n v="55325"/>
    <n v="5720"/>
    <n v="264"/>
    <n v="117"/>
    <n v="6172.02"/>
    <n v="18441.400000000001"/>
    <n v="0.10338906461816538"/>
    <n v="2.0454545454545454E-2"/>
    <n v="23.378863636363636"/>
    <n v="1.9879034740652168"/>
  </r>
  <r>
    <s v="C087"/>
    <x v="9"/>
    <x v="3"/>
    <x v="1"/>
    <x v="67"/>
    <x v="1"/>
    <d v="2026-04-05T00:00:00"/>
    <n v="103202"/>
    <n v="9056"/>
    <n v="473"/>
    <n v="140"/>
    <n v="3109.71"/>
    <n v="7670.32"/>
    <n v="8.7750237398500033E-2"/>
    <n v="1.5459363957597174E-2"/>
    <n v="6.5744397463002118"/>
    <n v="1.4665708377951641"/>
  </r>
  <r>
    <s v="C088"/>
    <x v="0"/>
    <x v="1"/>
    <x v="0"/>
    <x v="68"/>
    <x v="0"/>
    <d v="2026-03-23T00:00:00"/>
    <n v="84942"/>
    <n v="5722"/>
    <n v="1740"/>
    <n v="853"/>
    <n v="6203.75"/>
    <n v="8309.61"/>
    <n v="6.7363612818158267E-2"/>
    <n v="0.14907375043691018"/>
    <n v="3.5653735632183907"/>
    <n v="0.33944952649607102"/>
  </r>
  <r>
    <s v="C089"/>
    <x v="0"/>
    <x v="3"/>
    <x v="0"/>
    <x v="38"/>
    <x v="0"/>
    <d v="2026-02-21T00:00:00"/>
    <n v="72976"/>
    <n v="8085"/>
    <n v="2207"/>
    <n v="22"/>
    <n v="5432.45"/>
    <n v="17719.87"/>
    <n v="0.11078984871738654"/>
    <n v="2.7210884353741495E-3"/>
    <n v="2.4614635251472587"/>
    <n v="2.2618560686246534"/>
  </r>
  <r>
    <s v="C090"/>
    <x v="6"/>
    <x v="0"/>
    <x v="1"/>
    <x v="69"/>
    <x v="1"/>
    <d v="2026-03-26T00:00:00"/>
    <n v="101609"/>
    <n v="9167"/>
    <n v="2661"/>
    <n v="925"/>
    <n v="6199.93"/>
    <n v="12235.69"/>
    <n v="9.0218386166579734E-2"/>
    <n v="0.10090542162103196"/>
    <n v="2.329924840285607"/>
    <n v="0.97352066878174426"/>
  </r>
  <r>
    <s v="C091"/>
    <x v="3"/>
    <x v="1"/>
    <x v="0"/>
    <x v="40"/>
    <x v="0"/>
    <d v="2026-03-27T00:00:00"/>
    <n v="83532"/>
    <n v="2989"/>
    <n v="159"/>
    <n v="60"/>
    <n v="5066.54"/>
    <n v="10687.01"/>
    <n v="3.578269405736724E-2"/>
    <n v="2.0073603211776515E-2"/>
    <n v="31.865031446540879"/>
    <n v="1.109331022749253"/>
  </r>
  <r>
    <s v="C092"/>
    <x v="5"/>
    <x v="3"/>
    <x v="3"/>
    <x v="28"/>
    <x v="1"/>
    <d v="2026-04-01T00:00:00"/>
    <n v="32217"/>
    <n v="1920"/>
    <n v="216"/>
    <n v="79"/>
    <n v="7602.96"/>
    <n v="27836.69"/>
    <n v="5.9595865536828385E-2"/>
    <n v="4.1145833333333333E-2"/>
    <n v="35.198888888888888"/>
    <n v="2.66129638982712"/>
  </r>
  <r>
    <s v="C093"/>
    <x v="5"/>
    <x v="5"/>
    <x v="0"/>
    <x v="70"/>
    <x v="1"/>
    <d v="2026-04-05T00:00:00"/>
    <n v="55838"/>
    <n v="4403"/>
    <n v="1088"/>
    <n v="503"/>
    <n v="2327.98"/>
    <n v="7670.25"/>
    <n v="7.8853110784770225E-2"/>
    <n v="0.11424029071087895"/>
    <n v="2.1396875"/>
    <n v="2.294809233756304"/>
  </r>
  <r>
    <s v="C094"/>
    <x v="6"/>
    <x v="1"/>
    <x v="1"/>
    <x v="21"/>
    <x v="2"/>
    <d v="2026-04-30T00:00:00"/>
    <n v="56208"/>
    <n v="4399"/>
    <n v="796"/>
    <n v="279"/>
    <n v="2503.79"/>
    <n v="3028.95"/>
    <n v="7.8262880728721895E-2"/>
    <n v="6.342350534212321E-2"/>
    <n v="3.1454648241206029"/>
    <n v="0.20974602502606043"/>
  </r>
  <r>
    <s v="C095"/>
    <x v="7"/>
    <x v="2"/>
    <x v="2"/>
    <x v="21"/>
    <x v="2"/>
    <d v="2026-05-02T00:00:00"/>
    <n v="78529"/>
    <n v="8935"/>
    <n v="1513"/>
    <n v="360"/>
    <n v="4639.38"/>
    <n v="15147.73"/>
    <n v="0.11377962281450164"/>
    <n v="4.0290990486849469E-2"/>
    <n v="3.0663450099140781"/>
    <n v="2.2650332587544022"/>
  </r>
  <r>
    <s v="C096"/>
    <x v="9"/>
    <x v="3"/>
    <x v="1"/>
    <x v="22"/>
    <x v="1"/>
    <d v="2026-04-14T00:00:00"/>
    <n v="94946"/>
    <n v="7274"/>
    <n v="1056"/>
    <n v="458"/>
    <n v="6316.58"/>
    <n v="8627.56"/>
    <n v="7.6611968908642802E-2"/>
    <n v="6.2963981303271924E-2"/>
    <n v="5.9816098484848483"/>
    <n v="0.36585937326844581"/>
  </r>
  <r>
    <s v="C097"/>
    <x v="9"/>
    <x v="4"/>
    <x v="2"/>
    <x v="71"/>
    <x v="0"/>
    <d v="2026-03-19T00:00:00"/>
    <n v="105461"/>
    <n v="3492"/>
    <n v="1114"/>
    <n v="57"/>
    <n v="1446.85"/>
    <n v="7043.76"/>
    <n v="3.3111766434985444E-2"/>
    <n v="1.6323024054982819E-2"/>
    <n v="1.2987881508078993"/>
    <n v="3.8683415696167538"/>
  </r>
  <r>
    <s v="C098"/>
    <x v="2"/>
    <x v="0"/>
    <x v="2"/>
    <x v="60"/>
    <x v="3"/>
    <d v="2026-02-05T00:00:00"/>
    <n v="79890"/>
    <n v="1251"/>
    <n v="469"/>
    <n v="56"/>
    <n v="3574.84"/>
    <n v="13184.61"/>
    <n v="1.5659031167855803E-2"/>
    <n v="4.4764188649080737E-2"/>
    <n v="7.6222601279317699"/>
    <n v="2.6881678620581622"/>
  </r>
  <r>
    <s v="C099"/>
    <x v="5"/>
    <x v="0"/>
    <x v="2"/>
    <x v="72"/>
    <x v="2"/>
    <d v="2026-04-26T00:00:00"/>
    <n v="64375"/>
    <n v="6105"/>
    <n v="1728"/>
    <n v="685"/>
    <n v="1102.3599999999999"/>
    <n v="2699.18"/>
    <n v="9.4834951456310684E-2"/>
    <n v="0.1122031122031122"/>
    <n v="0.63793981481481477"/>
    <n v="1.4485467542363657"/>
  </r>
  <r>
    <s v="C100"/>
    <x v="3"/>
    <x v="5"/>
    <x v="0"/>
    <x v="45"/>
    <x v="1"/>
    <d v="2026-04-20T00:00:00"/>
    <n v="119536"/>
    <n v="8994"/>
    <n v="2316"/>
    <n v="93"/>
    <n v="5130.95"/>
    <n v="10734.6"/>
    <n v="7.5240931602195152E-2"/>
    <n v="1.0340226817878585E-2"/>
    <n v="2.2154360967184799"/>
    <n v="1.0921271889221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3C5CA8-78BB-4B8A-99D0-22AA5D13048B}"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2:P7" firstHeaderRow="0" firstDataRow="1" firstDataCol="1"/>
  <pivotFields count="19">
    <pivotField showAll="0"/>
    <pivotField showAll="0"/>
    <pivotField showAll="0"/>
    <pivotField showAll="0"/>
    <pivotField axis="axisRow" numFmtId="167" showAll="0">
      <items count="74">
        <item x="48"/>
        <item x="35"/>
        <item x="20"/>
        <item x="37"/>
        <item x="53"/>
        <item x="10"/>
        <item x="60"/>
        <item x="12"/>
        <item x="46"/>
        <item x="61"/>
        <item x="63"/>
        <item x="19"/>
        <item x="8"/>
        <item x="49"/>
        <item x="14"/>
        <item x="0"/>
        <item x="36"/>
        <item x="32"/>
        <item x="33"/>
        <item x="59"/>
        <item x="38"/>
        <item x="2"/>
        <item x="54"/>
        <item x="57"/>
        <item x="25"/>
        <item x="5"/>
        <item x="71"/>
        <item x="39"/>
        <item x="68"/>
        <item x="47"/>
        <item x="55"/>
        <item x="40"/>
        <item x="42"/>
        <item x="56"/>
        <item x="52"/>
        <item x="58"/>
        <item x="1"/>
        <item x="70"/>
        <item x="69"/>
        <item x="11"/>
        <item x="6"/>
        <item x="64"/>
        <item x="28"/>
        <item x="4"/>
        <item x="67"/>
        <item x="13"/>
        <item x="27"/>
        <item x="62"/>
        <item x="24"/>
        <item x="45"/>
        <item x="34"/>
        <item x="15"/>
        <item x="18"/>
        <item x="30"/>
        <item x="22"/>
        <item x="16"/>
        <item x="9"/>
        <item x="50"/>
        <item x="66"/>
        <item x="51"/>
        <item x="72"/>
        <item x="3"/>
        <item x="41"/>
        <item x="29"/>
        <item x="7"/>
        <item x="23"/>
        <item x="21"/>
        <item x="65"/>
        <item x="43"/>
        <item x="17"/>
        <item x="44"/>
        <item x="31"/>
        <item x="26"/>
        <item t="default"/>
      </items>
    </pivotField>
    <pivotField showAll="0"/>
    <pivotField numFmtId="167" showAll="0"/>
    <pivotField showAll="0"/>
    <pivotField showAll="0"/>
    <pivotField showAll="0"/>
    <pivotField dataField="1" showAll="0"/>
    <pivotField dataField="1" numFmtId="164" showAll="0"/>
    <pivotField dataField="1" numFmtId="164" showAll="0"/>
    <pivotField numFmtId="2" showAll="0"/>
    <pivotField numFmtId="2" showAll="0"/>
    <pivotField numFmtId="2" showAll="0"/>
    <pivotField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4"/>
  </rowFields>
  <rowItems count="5">
    <i>
      <x v="1"/>
    </i>
    <i>
      <x v="2"/>
    </i>
    <i>
      <x v="3"/>
    </i>
    <i>
      <x v="4"/>
    </i>
    <i t="grand">
      <x/>
    </i>
  </rowItems>
  <colFields count="1">
    <field x="-2"/>
  </colFields>
  <colItems count="3">
    <i>
      <x/>
    </i>
    <i i="1">
      <x v="1"/>
    </i>
    <i i="2">
      <x v="2"/>
    </i>
  </colItems>
  <dataFields count="3">
    <dataField name="Sum of Revenue" fld="12" baseField="0" baseItem="0" numFmtId="164"/>
    <dataField name="Sum of Spend" fld="11" baseField="0" baseItem="0" numFmtId="164"/>
    <dataField name="Sum of Conversions" fld="10" baseField="0" baseItem="0"/>
  </dataFields>
  <formats count="27">
    <format dxfId="141">
      <pivotArea dataOnly="0" labelOnly="1" outline="0" fieldPosition="0">
        <references count="1">
          <reference field="4294967294" count="1">
            <x v="0"/>
          </reference>
        </references>
      </pivotArea>
    </format>
    <format dxfId="142">
      <pivotArea dataOnly="0" outline="0" fieldPosition="0">
        <references count="1">
          <reference field="4294967294" count="1">
            <x v="1"/>
          </reference>
        </references>
      </pivotArea>
    </format>
    <format dxfId="143">
      <pivotArea dataOnly="0" labelOnly="1" outline="0" fieldPosition="0">
        <references count="1">
          <reference field="4294967294" count="1">
            <x v="2"/>
          </reference>
        </references>
      </pivotArea>
    </format>
    <format dxfId="144">
      <pivotArea field="18" type="button" dataOnly="0" labelOnly="1" outline="0" axis="axisRow" fieldPosition="0"/>
    </format>
    <format dxfId="145">
      <pivotArea dataOnly="0" labelOnly="1" outline="0" fieldPosition="0">
        <references count="1">
          <reference field="4294967294" count="3">
            <x v="0"/>
            <x v="1"/>
            <x v="2"/>
          </reference>
        </references>
      </pivotArea>
    </format>
    <format dxfId="146">
      <pivotArea field="18" type="button" dataOnly="0" labelOnly="1" outline="0" axis="axisRow" fieldPosition="0"/>
    </format>
    <format dxfId="147">
      <pivotArea dataOnly="0" labelOnly="1" outline="0" fieldPosition="0">
        <references count="1">
          <reference field="4294967294" count="3">
            <x v="0"/>
            <x v="1"/>
            <x v="2"/>
          </reference>
        </references>
      </pivotArea>
    </format>
    <format dxfId="69">
      <pivotArea type="all" dataOnly="0" outline="0" fieldPosition="0"/>
    </format>
    <format dxfId="68">
      <pivotArea outline="0" collapsedLevelsAreSubtotals="1" fieldPosition="0"/>
    </format>
    <format dxfId="67">
      <pivotArea field="18" type="button" dataOnly="0" labelOnly="1" outline="0" axis="axisRow" fieldPosition="0"/>
    </format>
    <format dxfId="66">
      <pivotArea dataOnly="0" labelOnly="1" fieldPosition="0">
        <references count="1">
          <reference field="18" count="4">
            <x v="1"/>
            <x v="2"/>
            <x v="3"/>
            <x v="4"/>
          </reference>
        </references>
      </pivotArea>
    </format>
    <format dxfId="65">
      <pivotArea dataOnly="0" labelOnly="1" grandRow="1" outline="0" fieldPosition="0"/>
    </format>
    <format dxfId="64">
      <pivotArea dataOnly="0" labelOnly="1" outline="0" fieldPosition="0">
        <references count="1">
          <reference field="4294967294" count="3">
            <x v="0"/>
            <x v="1"/>
            <x v="2"/>
          </reference>
        </references>
      </pivotArea>
    </format>
    <format dxfId="63">
      <pivotArea field="18" type="button" dataOnly="0" labelOnly="1" outline="0" axis="axisRow" fieldPosition="0"/>
    </format>
    <format dxfId="62">
      <pivotArea dataOnly="0" labelOnly="1" outline="0" fieldPosition="0">
        <references count="1">
          <reference field="4294967294" count="3">
            <x v="0"/>
            <x v="1"/>
            <x v="2"/>
          </reference>
        </references>
      </pivotArea>
    </format>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4">
            <x v="1"/>
            <x v="2"/>
            <x v="3"/>
            <x v="4"/>
          </reference>
        </references>
      </pivotArea>
    </format>
    <format dxfId="57">
      <pivotArea dataOnly="0" labelOnly="1" grandRow="1" outline="0" fieldPosition="0"/>
    </format>
    <format dxfId="56">
      <pivotArea dataOnly="0" labelOnly="1" outline="0" fieldPosition="0">
        <references count="1">
          <reference field="4294967294" count="3">
            <x v="0"/>
            <x v="1"/>
            <x v="2"/>
          </reference>
        </references>
      </pivotArea>
    </format>
    <format dxfId="25">
      <pivotArea type="all" dataOnly="0" outline="0" fieldPosition="0"/>
    </format>
    <format dxfId="24">
      <pivotArea outline="0" collapsedLevelsAreSubtotals="1" fieldPosition="0"/>
    </format>
    <format dxfId="23">
      <pivotArea field="18" type="button" dataOnly="0" labelOnly="1" outline="0" axis="axisRow" fieldPosition="0"/>
    </format>
    <format dxfId="22">
      <pivotArea dataOnly="0" labelOnly="1" fieldPosition="0">
        <references count="1">
          <reference field="18" count="4">
            <x v="1"/>
            <x v="2"/>
            <x v="3"/>
            <x v="4"/>
          </reference>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s>
  <chartFormats count="3">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4E155-2005-4DC5-948F-E230CF793CF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H2:K7" firstHeaderRow="0" firstDataRow="1" firstDataCol="1"/>
  <pivotFields count="19">
    <pivotField showAll="0"/>
    <pivotField showAll="0"/>
    <pivotField showAll="0">
      <items count="7">
        <item x="2"/>
        <item x="0"/>
        <item x="1"/>
        <item x="3"/>
        <item x="5"/>
        <item x="4"/>
        <item t="default"/>
      </items>
    </pivotField>
    <pivotField axis="axisRow" showAll="0">
      <items count="5">
        <item x="0"/>
        <item x="3"/>
        <item x="1"/>
        <item x="2"/>
        <item t="default"/>
      </items>
    </pivotField>
    <pivotField showAll="0">
      <items count="74">
        <item x="48"/>
        <item x="35"/>
        <item x="20"/>
        <item x="37"/>
        <item x="53"/>
        <item x="10"/>
        <item x="60"/>
        <item x="12"/>
        <item x="46"/>
        <item x="61"/>
        <item x="63"/>
        <item x="19"/>
        <item x="8"/>
        <item x="49"/>
        <item x="14"/>
        <item x="0"/>
        <item x="36"/>
        <item x="32"/>
        <item x="33"/>
        <item x="59"/>
        <item x="38"/>
        <item x="2"/>
        <item x="54"/>
        <item x="57"/>
        <item x="25"/>
        <item x="5"/>
        <item x="71"/>
        <item x="39"/>
        <item x="68"/>
        <item x="47"/>
        <item x="55"/>
        <item x="40"/>
        <item x="42"/>
        <item x="56"/>
        <item x="52"/>
        <item x="58"/>
        <item x="1"/>
        <item x="70"/>
        <item x="69"/>
        <item x="11"/>
        <item x="6"/>
        <item x="64"/>
        <item x="28"/>
        <item x="4"/>
        <item x="67"/>
        <item x="13"/>
        <item x="27"/>
        <item x="62"/>
        <item x="24"/>
        <item x="45"/>
        <item x="34"/>
        <item x="15"/>
        <item x="18"/>
        <item x="30"/>
        <item x="22"/>
        <item x="16"/>
        <item x="9"/>
        <item x="50"/>
        <item x="66"/>
        <item x="51"/>
        <item x="72"/>
        <item x="3"/>
        <item x="41"/>
        <item x="29"/>
        <item x="7"/>
        <item x="23"/>
        <item x="21"/>
        <item x="65"/>
        <item x="43"/>
        <item x="17"/>
        <item x="44"/>
        <item x="31"/>
        <item x="26"/>
        <item t="default"/>
      </items>
    </pivotField>
    <pivotField showAll="0"/>
    <pivotField showAll="0"/>
    <pivotField showAll="0"/>
    <pivotField showAll="0"/>
    <pivotField showAll="0"/>
    <pivotField showAll="0"/>
    <pivotField dataField="1" numFmtId="164" showAll="0"/>
    <pivotField dataField="1" numFmtId="164" showAll="0"/>
    <pivotField numFmtId="2" showAll="0"/>
    <pivotField dataField="1"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Spend" fld="11" baseField="0" baseItem="0" numFmtId="164"/>
    <dataField name="Sum of Revenue" fld="12" baseField="0" baseItem="0" numFmtId="164"/>
    <dataField name="Sum of Conversion Rate" fld="14" baseField="0" baseItem="0" numFmtId="2"/>
  </dataFields>
  <formats count="35">
    <format dxfId="118">
      <pivotArea type="all" dataOnly="0" outline="0" fieldPosition="0"/>
    </format>
    <format dxfId="119">
      <pivotArea outline="0" collapsedLevelsAreSubtotals="1" fieldPosition="0"/>
    </format>
    <format dxfId="120">
      <pivotArea field="2" type="button" dataOnly="0" labelOnly="1" outline="0"/>
    </format>
    <format dxfId="121">
      <pivotArea dataOnly="0" labelOnly="1" grandRow="1" outline="0" fieldPosition="0"/>
    </format>
    <format dxfId="122">
      <pivotArea dataOnly="0" labelOnly="1" outline="0" fieldPosition="0">
        <references count="1">
          <reference field="4294967294" count="2">
            <x v="0"/>
            <x v="1"/>
          </reference>
        </references>
      </pivotArea>
    </format>
    <format dxfId="123">
      <pivotArea type="all" dataOnly="0" outline="0" fieldPosition="0"/>
    </format>
    <format dxfId="124">
      <pivotArea outline="0" collapsedLevelsAreSubtotals="1" fieldPosition="0"/>
    </format>
    <format dxfId="125">
      <pivotArea field="2" type="button" dataOnly="0" labelOnly="1" outline="0"/>
    </format>
    <format dxfId="126">
      <pivotArea dataOnly="0" labelOnly="1" grandRow="1" outline="0" fieldPosition="0"/>
    </format>
    <format dxfId="127">
      <pivotArea dataOnly="0" labelOnly="1" outline="0" fieldPosition="0">
        <references count="1">
          <reference field="4294967294" count="2">
            <x v="0"/>
            <x v="1"/>
          </reference>
        </references>
      </pivotArea>
    </format>
    <format dxfId="128">
      <pivotArea type="all" dataOnly="0" outline="0" fieldPosition="0"/>
    </format>
    <format dxfId="129">
      <pivotArea outline="0" collapsedLevelsAreSubtotals="1" fieldPosition="0"/>
    </format>
    <format dxfId="130">
      <pivotArea field="2" type="button" dataOnly="0" labelOnly="1" outline="0"/>
    </format>
    <format dxfId="131">
      <pivotArea dataOnly="0" labelOnly="1" grandRow="1" outline="0" fieldPosition="0"/>
    </format>
    <format dxfId="132">
      <pivotArea dataOnly="0" labelOnly="1" outline="0" fieldPosition="0">
        <references count="1">
          <reference field="4294967294" count="2">
            <x v="0"/>
            <x v="1"/>
          </reference>
        </references>
      </pivotArea>
    </format>
    <format dxfId="133">
      <pivotArea type="all" dataOnly="0" outline="0" fieldPosition="0"/>
    </format>
    <format dxfId="134">
      <pivotArea field="3" type="button" dataOnly="0" labelOnly="1" outline="0" axis="axisRow" fieldPosition="0"/>
    </format>
    <format dxfId="135">
      <pivotArea dataOnly="0" labelOnly="1" outline="0" fieldPosition="0">
        <references count="1">
          <reference field="4294967294" count="3">
            <x v="0"/>
            <x v="1"/>
            <x v="2"/>
          </reference>
        </references>
      </pivotArea>
    </format>
    <format dxfId="136">
      <pivotArea dataOnly="0" labelOnly="1" outline="0" fieldPosition="0">
        <references count="1">
          <reference field="4294967294" count="1">
            <x v="2"/>
          </reference>
        </references>
      </pivotArea>
    </format>
    <format dxfId="137">
      <pivotArea field="3" type="button" dataOnly="0" labelOnly="1" outline="0" axis="axisRow" fieldPosition="0"/>
    </format>
    <format dxfId="138">
      <pivotArea dataOnly="0" labelOnly="1" outline="0" fieldPosition="0">
        <references count="1">
          <reference field="4294967294" count="3">
            <x v="0"/>
            <x v="1"/>
            <x v="2"/>
          </reference>
        </references>
      </pivotArea>
    </format>
    <format dxfId="139">
      <pivotArea field="3" type="button" dataOnly="0" labelOnly="1" outline="0" axis="axisRow" fieldPosition="0"/>
    </format>
    <format dxfId="140">
      <pivotArea dataOnly="0" labelOnly="1" outline="0" fieldPosition="0">
        <references count="1">
          <reference field="4294967294" count="3">
            <x v="0"/>
            <x v="1"/>
            <x v="2"/>
          </reference>
        </references>
      </pivotArea>
    </format>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fieldPosition="0">
        <references count="1">
          <reference field="4294967294" count="3">
            <x v="0"/>
            <x v="1"/>
            <x v="2"/>
          </reference>
        </references>
      </pivotArea>
    </format>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fieldPosition="0">
        <references count="1">
          <reference field="3" count="0"/>
        </references>
      </pivotArea>
    </format>
    <format dxfId="27">
      <pivotArea dataOnly="0" labelOnly="1" grandRow="1" outline="0" fieldPosition="0"/>
    </format>
    <format dxfId="26">
      <pivotArea dataOnly="0" labelOnly="1" outline="0" fieldPosition="0">
        <references count="1">
          <reference field="4294967294" count="3">
            <x v="0"/>
            <x v="1"/>
            <x v="2"/>
          </reference>
        </references>
      </pivotArea>
    </format>
  </formats>
  <chartFormats count="3">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C5C94C-A895-4FDD-8DAC-93FAF0E1AE0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hannel">
  <location ref="B2:F9" firstHeaderRow="0" firstDataRow="1" firstDataCol="1"/>
  <pivotFields count="19">
    <pivotField showAll="0"/>
    <pivotField showAll="0">
      <items count="11">
        <item x="3"/>
        <item x="5"/>
        <item x="9"/>
        <item x="8"/>
        <item x="4"/>
        <item x="6"/>
        <item x="7"/>
        <item x="2"/>
        <item x="1"/>
        <item x="0"/>
        <item t="default"/>
      </items>
    </pivotField>
    <pivotField axis="axisRow" showAll="0">
      <items count="7">
        <item x="2"/>
        <item x="0"/>
        <item x="1"/>
        <item x="3"/>
        <item x="5"/>
        <item x="4"/>
        <item t="default"/>
      </items>
    </pivotField>
    <pivotField showAll="0">
      <items count="5">
        <item x="0"/>
        <item x="3"/>
        <item x="1"/>
        <item x="2"/>
        <item t="default"/>
      </items>
    </pivotField>
    <pivotField showAll="0">
      <items count="74">
        <item x="48"/>
        <item x="35"/>
        <item x="20"/>
        <item x="37"/>
        <item x="53"/>
        <item x="10"/>
        <item x="60"/>
        <item x="12"/>
        <item x="46"/>
        <item x="61"/>
        <item x="63"/>
        <item x="19"/>
        <item x="8"/>
        <item x="49"/>
        <item x="14"/>
        <item x="0"/>
        <item x="36"/>
        <item x="32"/>
        <item x="33"/>
        <item x="59"/>
        <item x="38"/>
        <item x="2"/>
        <item x="54"/>
        <item x="57"/>
        <item x="25"/>
        <item x="5"/>
        <item x="71"/>
        <item x="39"/>
        <item x="68"/>
        <item x="47"/>
        <item x="55"/>
        <item x="40"/>
        <item x="42"/>
        <item x="56"/>
        <item x="52"/>
        <item x="58"/>
        <item x="1"/>
        <item x="70"/>
        <item x="69"/>
        <item x="11"/>
        <item x="6"/>
        <item x="64"/>
        <item x="28"/>
        <item x="4"/>
        <item x="67"/>
        <item x="13"/>
        <item x="27"/>
        <item x="62"/>
        <item x="24"/>
        <item x="45"/>
        <item x="34"/>
        <item x="15"/>
        <item x="18"/>
        <item x="30"/>
        <item x="22"/>
        <item x="16"/>
        <item x="9"/>
        <item x="50"/>
        <item x="66"/>
        <item x="51"/>
        <item x="72"/>
        <item x="3"/>
        <item x="41"/>
        <item x="29"/>
        <item x="7"/>
        <item x="23"/>
        <item x="21"/>
        <item x="65"/>
        <item x="43"/>
        <item x="17"/>
        <item x="44"/>
        <item x="31"/>
        <item x="26"/>
        <item t="default"/>
      </items>
    </pivotField>
    <pivotField showAll="0">
      <items count="5">
        <item x="3"/>
        <item x="0"/>
        <item x="1"/>
        <item x="2"/>
        <item t="default"/>
      </items>
    </pivotField>
    <pivotField showAll="0"/>
    <pivotField showAll="0"/>
    <pivotField showAll="0"/>
    <pivotField showAll="0"/>
    <pivotField dataField="1" showAll="0"/>
    <pivotField dataField="1" numFmtId="164" showAll="0"/>
    <pivotField dataField="1" numFmtId="164" showAll="0"/>
    <pivotField numFmtId="2" showAll="0"/>
    <pivotField numFmtId="2"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Fields count="1">
    <field x="-2"/>
  </colFields>
  <colItems count="4">
    <i>
      <x/>
    </i>
    <i i="1">
      <x v="1"/>
    </i>
    <i i="2">
      <x v="2"/>
    </i>
    <i i="3">
      <x v="3"/>
    </i>
  </colItems>
  <dataFields count="4">
    <dataField name="Sum of Spend" fld="11" baseField="0" baseItem="0" numFmtId="164"/>
    <dataField name="Sum of Revenue" fld="12" baseField="0" baseItem="0" numFmtId="164"/>
    <dataField name="Sum of Conversions" fld="10" baseField="0" baseItem="0"/>
    <dataField name="Average of ROI Percentage" fld="16" subtotal="average" baseField="2" baseItem="0" numFmtId="2"/>
  </dataFields>
  <formats count="38">
    <format dxfId="92">
      <pivotArea type="all" dataOnly="0" outline="0" fieldPosition="0"/>
    </format>
    <format dxfId="93">
      <pivotArea outline="0" collapsedLevelsAreSubtotals="1" fieldPosition="0"/>
    </format>
    <format dxfId="94">
      <pivotArea field="2" type="button" dataOnly="0" labelOnly="1" outline="0" axis="axisRow" fieldPosition="0"/>
    </format>
    <format dxfId="95">
      <pivotArea dataOnly="0" labelOnly="1" fieldPosition="0">
        <references count="1">
          <reference field="2" count="0"/>
        </references>
      </pivotArea>
    </format>
    <format dxfId="96">
      <pivotArea dataOnly="0" labelOnly="1" grandRow="1" outline="0" fieldPosition="0"/>
    </format>
    <format dxfId="97">
      <pivotArea dataOnly="0" labelOnly="1" outline="0" fieldPosition="0">
        <references count="1">
          <reference field="4294967294" count="4">
            <x v="0"/>
            <x v="1"/>
            <x v="2"/>
            <x v="3"/>
          </reference>
        </references>
      </pivotArea>
    </format>
    <format dxfId="98">
      <pivotArea type="all" dataOnly="0" outline="0" fieldPosition="0"/>
    </format>
    <format dxfId="99">
      <pivotArea outline="0" collapsedLevelsAreSubtotals="1" fieldPosition="0"/>
    </format>
    <format dxfId="100">
      <pivotArea field="2" type="button" dataOnly="0" labelOnly="1" outline="0" axis="axisRow" fieldPosition="0"/>
    </format>
    <format dxfId="101">
      <pivotArea dataOnly="0" labelOnly="1" fieldPosition="0">
        <references count="1">
          <reference field="2" count="0"/>
        </references>
      </pivotArea>
    </format>
    <format dxfId="102">
      <pivotArea dataOnly="0" labelOnly="1" grandRow="1" outline="0" fieldPosition="0"/>
    </format>
    <format dxfId="103">
      <pivotArea dataOnly="0" labelOnly="1" outline="0" fieldPosition="0">
        <references count="1">
          <reference field="4294967294" count="4">
            <x v="0"/>
            <x v="1"/>
            <x v="2"/>
            <x v="3"/>
          </reference>
        </references>
      </pivotArea>
    </format>
    <format dxfId="104">
      <pivotArea type="all" dataOnly="0" outline="0" fieldPosition="0"/>
    </format>
    <format dxfId="105">
      <pivotArea outline="0" collapsedLevelsAreSubtotals="1" fieldPosition="0"/>
    </format>
    <format dxfId="106">
      <pivotArea field="2" type="button" dataOnly="0" labelOnly="1" outline="0" axis="axisRow" fieldPosition="0"/>
    </format>
    <format dxfId="107">
      <pivotArea dataOnly="0" labelOnly="1" fieldPosition="0">
        <references count="1">
          <reference field="2" count="0"/>
        </references>
      </pivotArea>
    </format>
    <format dxfId="108">
      <pivotArea dataOnly="0" labelOnly="1" grandRow="1" outline="0" fieldPosition="0"/>
    </format>
    <format dxfId="109">
      <pivotArea dataOnly="0" labelOnly="1" outline="0" fieldPosition="0">
        <references count="1">
          <reference field="4294967294" count="4">
            <x v="0"/>
            <x v="1"/>
            <x v="2"/>
            <x v="3"/>
          </reference>
        </references>
      </pivotArea>
    </format>
    <format dxfId="110">
      <pivotArea dataOnly="0" labelOnly="1" outline="0" fieldPosition="0">
        <references count="1">
          <reference field="4294967294" count="1">
            <x v="3"/>
          </reference>
        </references>
      </pivotArea>
    </format>
    <format dxfId="111">
      <pivotArea dataOnly="0" labelOnly="1" outline="0" fieldPosition="0">
        <references count="1">
          <reference field="4294967294" count="1">
            <x v="2"/>
          </reference>
        </references>
      </pivotArea>
    </format>
    <format dxfId="112">
      <pivotArea dataOnly="0" outline="0" fieldPosition="0">
        <references count="1">
          <reference field="4294967294" count="1">
            <x v="1"/>
          </reference>
        </references>
      </pivotArea>
    </format>
    <format dxfId="113">
      <pivotArea dataOnly="0" labelOnly="1" outline="0" fieldPosition="0">
        <references count="1">
          <reference field="4294967294" count="1">
            <x v="1"/>
          </reference>
        </references>
      </pivotArea>
    </format>
    <format dxfId="114">
      <pivotArea field="2" type="button" dataOnly="0" labelOnly="1" outline="0" axis="axisRow" fieldPosition="0"/>
    </format>
    <format dxfId="115">
      <pivotArea dataOnly="0" labelOnly="1" outline="0" fieldPosition="0">
        <references count="1">
          <reference field="4294967294" count="4">
            <x v="0"/>
            <x v="1"/>
            <x v="2"/>
            <x v="3"/>
          </reference>
        </references>
      </pivotArea>
    </format>
    <format dxfId="116">
      <pivotArea field="2" type="button" dataOnly="0" labelOnly="1" outline="0" axis="axisRow" fieldPosition="0"/>
    </format>
    <format dxfId="117">
      <pivotArea dataOnly="0" labelOnly="1" outline="0" fieldPosition="0">
        <references count="1">
          <reference field="4294967294" count="4">
            <x v="0"/>
            <x v="1"/>
            <x v="2"/>
            <x v="3"/>
          </reference>
        </references>
      </pivotArea>
    </format>
    <format dxfId="49">
      <pivotArea type="all" dataOnly="0"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dataOnly="0" labelOnly="1" outline="0" fieldPosition="0">
        <references count="1">
          <reference field="4294967294" count="4">
            <x v="0"/>
            <x v="1"/>
            <x v="2"/>
            <x v="3"/>
          </reference>
        </references>
      </pivotArea>
    </format>
    <format dxfId="37">
      <pivotArea type="all" dataOnly="0" outline="0" fieldPosition="0"/>
    </format>
    <format dxfId="36">
      <pivotArea outline="0" collapsedLevelsAreSubtotals="1"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fieldPosition="0">
        <references count="1">
          <reference field="4294967294" count="4">
            <x v="0"/>
            <x v="1"/>
            <x v="2"/>
            <x v="3"/>
          </reference>
        </references>
      </pivotArea>
    </format>
  </formats>
  <chartFormats count="4">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9BB84-467A-48B5-97B2-B7BCD067C9A6}"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mpaign Name">
  <location ref="R2:V13" firstHeaderRow="0" firstDataRow="1" firstDataCol="1"/>
  <pivotFields count="19">
    <pivotField showAll="0"/>
    <pivotField axis="axisRow" showAll="0">
      <items count="11">
        <item x="3"/>
        <item x="5"/>
        <item x="9"/>
        <item x="8"/>
        <item x="4"/>
        <item x="6"/>
        <item x="7"/>
        <item x="2"/>
        <item x="1"/>
        <item x="0"/>
        <item t="default"/>
      </items>
    </pivotField>
    <pivotField showAll="0">
      <items count="7">
        <item x="2"/>
        <item x="0"/>
        <item x="1"/>
        <item x="3"/>
        <item x="5"/>
        <item x="4"/>
        <item t="default"/>
      </items>
    </pivotField>
    <pivotField showAll="0"/>
    <pivotField showAll="0">
      <items count="74">
        <item x="48"/>
        <item x="35"/>
        <item x="20"/>
        <item x="37"/>
        <item x="53"/>
        <item x="10"/>
        <item x="60"/>
        <item x="12"/>
        <item x="46"/>
        <item x="61"/>
        <item x="63"/>
        <item x="19"/>
        <item x="8"/>
        <item x="49"/>
        <item x="14"/>
        <item x="0"/>
        <item x="36"/>
        <item x="32"/>
        <item x="33"/>
        <item x="59"/>
        <item x="38"/>
        <item x="2"/>
        <item x="54"/>
        <item x="57"/>
        <item x="25"/>
        <item x="5"/>
        <item x="71"/>
        <item x="39"/>
        <item x="68"/>
        <item x="47"/>
        <item x="55"/>
        <item x="40"/>
        <item x="42"/>
        <item x="56"/>
        <item x="52"/>
        <item x="58"/>
        <item x="1"/>
        <item x="70"/>
        <item x="69"/>
        <item x="11"/>
        <item x="6"/>
        <item x="64"/>
        <item x="28"/>
        <item x="4"/>
        <item x="67"/>
        <item x="13"/>
        <item x="27"/>
        <item x="62"/>
        <item x="24"/>
        <item x="45"/>
        <item x="34"/>
        <item x="15"/>
        <item x="18"/>
        <item x="30"/>
        <item x="22"/>
        <item x="16"/>
        <item x="9"/>
        <item x="50"/>
        <item x="66"/>
        <item x="51"/>
        <item x="72"/>
        <item x="3"/>
        <item x="41"/>
        <item x="29"/>
        <item x="7"/>
        <item x="23"/>
        <item x="21"/>
        <item x="65"/>
        <item x="43"/>
        <item x="17"/>
        <item x="44"/>
        <item x="31"/>
        <item x="26"/>
        <item t="default"/>
      </items>
    </pivotField>
    <pivotField showAll="0"/>
    <pivotField showAll="0"/>
    <pivotField showAll="0"/>
    <pivotField showAll="0"/>
    <pivotField showAll="0"/>
    <pivotField showAll="0"/>
    <pivotField dataField="1" numFmtId="164" showAll="0"/>
    <pivotField dataField="1" numFmtId="164" showAll="0"/>
    <pivotField numFmtId="2" showAll="0"/>
    <pivotField dataField="1" numFmtId="2"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OI Percentage" fld="16" baseField="0" baseItem="0" numFmtId="2"/>
    <dataField name="Sum of Revenue" fld="12" baseField="0" baseItem="0" numFmtId="164"/>
    <dataField name="Sum of Spend" fld="11" baseField="0" baseItem="0" numFmtId="164"/>
    <dataField name="Sum of Conversion Rate" fld="14" baseField="0" baseItem="0" numFmtId="2"/>
  </dataFields>
  <formats count="35">
    <format dxfId="70">
      <pivotArea type="all" dataOnly="0" outline="0" fieldPosition="0"/>
    </format>
    <format dxfId="71">
      <pivotArea outline="0" collapsedLevelsAreSubtotals="1" fieldPosition="0"/>
    </format>
    <format dxfId="72">
      <pivotArea field="2" type="button" dataOnly="0" labelOnly="1" outline="0"/>
    </format>
    <format dxfId="73">
      <pivotArea dataOnly="0" labelOnly="1" grandRow="1" outline="0" fieldPosition="0"/>
    </format>
    <format dxfId="74">
      <pivotArea type="all" dataOnly="0" outline="0" fieldPosition="0"/>
    </format>
    <format dxfId="75">
      <pivotArea outline="0" collapsedLevelsAreSubtotals="1" fieldPosition="0"/>
    </format>
    <format dxfId="76">
      <pivotArea field="2" type="button" dataOnly="0" labelOnly="1" outline="0"/>
    </format>
    <format dxfId="77">
      <pivotArea dataOnly="0" labelOnly="1" grandRow="1" outline="0" fieldPosition="0"/>
    </format>
    <format dxfId="78">
      <pivotArea type="all" dataOnly="0" outline="0" fieldPosition="0"/>
    </format>
    <format dxfId="79">
      <pivotArea outline="0" collapsedLevelsAreSubtotals="1" fieldPosition="0"/>
    </format>
    <format dxfId="80">
      <pivotArea field="2" type="button" dataOnly="0" labelOnly="1" outline="0"/>
    </format>
    <format dxfId="81">
      <pivotArea dataOnly="0" labelOnly="1" grandRow="1" outline="0" fieldPosition="0"/>
    </format>
    <format dxfId="82">
      <pivotArea type="all" dataOnly="0" outline="0" fieldPosition="0"/>
    </format>
    <format dxfId="83">
      <pivotArea field="1" type="button" dataOnly="0" labelOnly="1" outline="0" axis="axisRow" fieldPosition="0"/>
    </format>
    <format dxfId="84">
      <pivotArea dataOnly="0" labelOnly="1" outline="0" fieldPosition="0">
        <references count="1">
          <reference field="4294967294" count="4">
            <x v="0"/>
            <x v="1"/>
            <x v="2"/>
            <x v="3"/>
          </reference>
        </references>
      </pivotArea>
    </format>
    <format dxfId="85">
      <pivotArea dataOnly="0" labelOnly="1" outline="0" fieldPosition="0">
        <references count="1">
          <reference field="4294967294" count="1">
            <x v="3"/>
          </reference>
        </references>
      </pivotArea>
    </format>
    <format dxfId="86">
      <pivotArea dataOnly="0" labelOnly="1" outline="0" fieldPosition="0">
        <references count="1">
          <reference field="4294967294" count="1">
            <x v="0"/>
          </reference>
        </references>
      </pivotArea>
    </format>
    <format dxfId="87">
      <pivotArea field="1" type="button" dataOnly="0" labelOnly="1" outline="0" axis="axisRow" fieldPosition="0"/>
    </format>
    <format dxfId="88">
      <pivotArea field="1" type="button" dataOnly="0" labelOnly="1" outline="0" axis="axisRow" fieldPosition="0"/>
    </format>
    <format dxfId="89">
      <pivotArea dataOnly="0" labelOnly="1" outline="0" fieldPosition="0">
        <references count="1">
          <reference field="4294967294" count="4">
            <x v="0"/>
            <x v="1"/>
            <x v="2"/>
            <x v="3"/>
          </reference>
        </references>
      </pivotArea>
    </format>
    <format dxfId="90">
      <pivotArea field="1" type="button" dataOnly="0" labelOnly="1" outline="0" axis="axisRow" fieldPosition="0"/>
    </format>
    <format dxfId="91">
      <pivotArea dataOnly="0" labelOnly="1" outline="0" fieldPosition="0">
        <references count="1">
          <reference field="4294967294" count="4">
            <x v="0"/>
            <x v="1"/>
            <x v="2"/>
            <x v="3"/>
          </reference>
        </references>
      </pivotArea>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fieldPosition="0">
        <references count="1">
          <reference field="4294967294" count="4">
            <x v="0"/>
            <x v="1"/>
            <x v="2"/>
            <x v="3"/>
          </reference>
        </references>
      </pivotArea>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fieldPosition="0">
        <references count="1">
          <reference field="4294967294" count="4">
            <x v="0"/>
            <x v="1"/>
            <x v="2"/>
            <x v="3"/>
          </reference>
        </references>
      </pivotArea>
    </format>
    <format dxfId="13">
      <pivotArea dataOnly="0" labelOnly="1" fieldPosition="0">
        <references count="1">
          <reference field="1" count="1">
            <x v="9"/>
          </reference>
        </references>
      </pivotArea>
    </format>
  </formats>
  <chartFormats count="44">
    <chartFormat chart="9" format="136" series="1">
      <pivotArea type="data" outline="0" fieldPosition="0">
        <references count="1">
          <reference field="4294967294" count="1" selected="0">
            <x v="0"/>
          </reference>
        </references>
      </pivotArea>
    </chartFormat>
    <chartFormat chart="9" format="137">
      <pivotArea type="data" outline="0" fieldPosition="0">
        <references count="2">
          <reference field="4294967294" count="1" selected="0">
            <x v="0"/>
          </reference>
          <reference field="1" count="1" selected="0">
            <x v="0"/>
          </reference>
        </references>
      </pivotArea>
    </chartFormat>
    <chartFormat chart="9" format="138">
      <pivotArea type="data" outline="0" fieldPosition="0">
        <references count="2">
          <reference field="4294967294" count="1" selected="0">
            <x v="0"/>
          </reference>
          <reference field="1" count="1" selected="0">
            <x v="1"/>
          </reference>
        </references>
      </pivotArea>
    </chartFormat>
    <chartFormat chart="9" format="139">
      <pivotArea type="data" outline="0" fieldPosition="0">
        <references count="2">
          <reference field="4294967294" count="1" selected="0">
            <x v="0"/>
          </reference>
          <reference field="1" count="1" selected="0">
            <x v="2"/>
          </reference>
        </references>
      </pivotArea>
    </chartFormat>
    <chartFormat chart="9" format="140">
      <pivotArea type="data" outline="0" fieldPosition="0">
        <references count="2">
          <reference field="4294967294" count="1" selected="0">
            <x v="0"/>
          </reference>
          <reference field="1" count="1" selected="0">
            <x v="3"/>
          </reference>
        </references>
      </pivotArea>
    </chartFormat>
    <chartFormat chart="9" format="141">
      <pivotArea type="data" outline="0" fieldPosition="0">
        <references count="2">
          <reference field="4294967294" count="1" selected="0">
            <x v="0"/>
          </reference>
          <reference field="1" count="1" selected="0">
            <x v="4"/>
          </reference>
        </references>
      </pivotArea>
    </chartFormat>
    <chartFormat chart="9" format="142">
      <pivotArea type="data" outline="0" fieldPosition="0">
        <references count="2">
          <reference field="4294967294" count="1" selected="0">
            <x v="0"/>
          </reference>
          <reference field="1" count="1" selected="0">
            <x v="5"/>
          </reference>
        </references>
      </pivotArea>
    </chartFormat>
    <chartFormat chart="9" format="143">
      <pivotArea type="data" outline="0" fieldPosition="0">
        <references count="2">
          <reference field="4294967294" count="1" selected="0">
            <x v="0"/>
          </reference>
          <reference field="1" count="1" selected="0">
            <x v="6"/>
          </reference>
        </references>
      </pivotArea>
    </chartFormat>
    <chartFormat chart="9" format="144">
      <pivotArea type="data" outline="0" fieldPosition="0">
        <references count="2">
          <reference field="4294967294" count="1" selected="0">
            <x v="0"/>
          </reference>
          <reference field="1" count="1" selected="0">
            <x v="7"/>
          </reference>
        </references>
      </pivotArea>
    </chartFormat>
    <chartFormat chart="9" format="145">
      <pivotArea type="data" outline="0" fieldPosition="0">
        <references count="2">
          <reference field="4294967294" count="1" selected="0">
            <x v="0"/>
          </reference>
          <reference field="1" count="1" selected="0">
            <x v="8"/>
          </reference>
        </references>
      </pivotArea>
    </chartFormat>
    <chartFormat chart="9" format="146">
      <pivotArea type="data" outline="0" fieldPosition="0">
        <references count="2">
          <reference field="4294967294" count="1" selected="0">
            <x v="0"/>
          </reference>
          <reference field="1" count="1" selected="0">
            <x v="9"/>
          </reference>
        </references>
      </pivotArea>
    </chartFormat>
    <chartFormat chart="9" format="147" series="1">
      <pivotArea type="data" outline="0" fieldPosition="0">
        <references count="1">
          <reference field="4294967294" count="1" selected="0">
            <x v="1"/>
          </reference>
        </references>
      </pivotArea>
    </chartFormat>
    <chartFormat chart="9" format="148">
      <pivotArea type="data" outline="0" fieldPosition="0">
        <references count="2">
          <reference field="4294967294" count="1" selected="0">
            <x v="1"/>
          </reference>
          <reference field="1" count="1" selected="0">
            <x v="0"/>
          </reference>
        </references>
      </pivotArea>
    </chartFormat>
    <chartFormat chart="9" format="149">
      <pivotArea type="data" outline="0" fieldPosition="0">
        <references count="2">
          <reference field="4294967294" count="1" selected="0">
            <x v="1"/>
          </reference>
          <reference field="1" count="1" selected="0">
            <x v="1"/>
          </reference>
        </references>
      </pivotArea>
    </chartFormat>
    <chartFormat chart="9" format="150">
      <pivotArea type="data" outline="0" fieldPosition="0">
        <references count="2">
          <reference field="4294967294" count="1" selected="0">
            <x v="1"/>
          </reference>
          <reference field="1" count="1" selected="0">
            <x v="2"/>
          </reference>
        </references>
      </pivotArea>
    </chartFormat>
    <chartFormat chart="9" format="151">
      <pivotArea type="data" outline="0" fieldPosition="0">
        <references count="2">
          <reference field="4294967294" count="1" selected="0">
            <x v="1"/>
          </reference>
          <reference field="1" count="1" selected="0">
            <x v="3"/>
          </reference>
        </references>
      </pivotArea>
    </chartFormat>
    <chartFormat chart="9" format="152">
      <pivotArea type="data" outline="0" fieldPosition="0">
        <references count="2">
          <reference field="4294967294" count="1" selected="0">
            <x v="1"/>
          </reference>
          <reference field="1" count="1" selected="0">
            <x v="4"/>
          </reference>
        </references>
      </pivotArea>
    </chartFormat>
    <chartFormat chart="9" format="153">
      <pivotArea type="data" outline="0" fieldPosition="0">
        <references count="2">
          <reference field="4294967294" count="1" selected="0">
            <x v="1"/>
          </reference>
          <reference field="1" count="1" selected="0">
            <x v="5"/>
          </reference>
        </references>
      </pivotArea>
    </chartFormat>
    <chartFormat chart="9" format="154">
      <pivotArea type="data" outline="0" fieldPosition="0">
        <references count="2">
          <reference field="4294967294" count="1" selected="0">
            <x v="1"/>
          </reference>
          <reference field="1" count="1" selected="0">
            <x v="6"/>
          </reference>
        </references>
      </pivotArea>
    </chartFormat>
    <chartFormat chart="9" format="155">
      <pivotArea type="data" outline="0" fieldPosition="0">
        <references count="2">
          <reference field="4294967294" count="1" selected="0">
            <x v="1"/>
          </reference>
          <reference field="1" count="1" selected="0">
            <x v="7"/>
          </reference>
        </references>
      </pivotArea>
    </chartFormat>
    <chartFormat chart="9" format="156">
      <pivotArea type="data" outline="0" fieldPosition="0">
        <references count="2">
          <reference field="4294967294" count="1" selected="0">
            <x v="1"/>
          </reference>
          <reference field="1" count="1" selected="0">
            <x v="8"/>
          </reference>
        </references>
      </pivotArea>
    </chartFormat>
    <chartFormat chart="9" format="157">
      <pivotArea type="data" outline="0" fieldPosition="0">
        <references count="2">
          <reference field="4294967294" count="1" selected="0">
            <x v="1"/>
          </reference>
          <reference field="1" count="1" selected="0">
            <x v="9"/>
          </reference>
        </references>
      </pivotArea>
    </chartFormat>
    <chartFormat chart="9" format="158" series="1">
      <pivotArea type="data" outline="0" fieldPosition="0">
        <references count="1">
          <reference field="4294967294" count="1" selected="0">
            <x v="2"/>
          </reference>
        </references>
      </pivotArea>
    </chartFormat>
    <chartFormat chart="9" format="159">
      <pivotArea type="data" outline="0" fieldPosition="0">
        <references count="2">
          <reference field="4294967294" count="1" selected="0">
            <x v="2"/>
          </reference>
          <reference field="1" count="1" selected="0">
            <x v="0"/>
          </reference>
        </references>
      </pivotArea>
    </chartFormat>
    <chartFormat chart="9" format="160">
      <pivotArea type="data" outline="0" fieldPosition="0">
        <references count="2">
          <reference field="4294967294" count="1" selected="0">
            <x v="2"/>
          </reference>
          <reference field="1" count="1" selected="0">
            <x v="1"/>
          </reference>
        </references>
      </pivotArea>
    </chartFormat>
    <chartFormat chart="9" format="161">
      <pivotArea type="data" outline="0" fieldPosition="0">
        <references count="2">
          <reference field="4294967294" count="1" selected="0">
            <x v="2"/>
          </reference>
          <reference field="1" count="1" selected="0">
            <x v="2"/>
          </reference>
        </references>
      </pivotArea>
    </chartFormat>
    <chartFormat chart="9" format="162">
      <pivotArea type="data" outline="0" fieldPosition="0">
        <references count="2">
          <reference field="4294967294" count="1" selected="0">
            <x v="2"/>
          </reference>
          <reference field="1" count="1" selected="0">
            <x v="3"/>
          </reference>
        </references>
      </pivotArea>
    </chartFormat>
    <chartFormat chart="9" format="163">
      <pivotArea type="data" outline="0" fieldPosition="0">
        <references count="2">
          <reference field="4294967294" count="1" selected="0">
            <x v="2"/>
          </reference>
          <reference field="1" count="1" selected="0">
            <x v="4"/>
          </reference>
        </references>
      </pivotArea>
    </chartFormat>
    <chartFormat chart="9" format="164">
      <pivotArea type="data" outline="0" fieldPosition="0">
        <references count="2">
          <reference field="4294967294" count="1" selected="0">
            <x v="2"/>
          </reference>
          <reference field="1" count="1" selected="0">
            <x v="5"/>
          </reference>
        </references>
      </pivotArea>
    </chartFormat>
    <chartFormat chart="9" format="165">
      <pivotArea type="data" outline="0" fieldPosition="0">
        <references count="2">
          <reference field="4294967294" count="1" selected="0">
            <x v="2"/>
          </reference>
          <reference field="1" count="1" selected="0">
            <x v="6"/>
          </reference>
        </references>
      </pivotArea>
    </chartFormat>
    <chartFormat chart="9" format="166">
      <pivotArea type="data" outline="0" fieldPosition="0">
        <references count="2">
          <reference field="4294967294" count="1" selected="0">
            <x v="2"/>
          </reference>
          <reference field="1" count="1" selected="0">
            <x v="7"/>
          </reference>
        </references>
      </pivotArea>
    </chartFormat>
    <chartFormat chart="9" format="167">
      <pivotArea type="data" outline="0" fieldPosition="0">
        <references count="2">
          <reference field="4294967294" count="1" selected="0">
            <x v="2"/>
          </reference>
          <reference field="1" count="1" selected="0">
            <x v="8"/>
          </reference>
        </references>
      </pivotArea>
    </chartFormat>
    <chartFormat chart="9" format="168">
      <pivotArea type="data" outline="0" fieldPosition="0">
        <references count="2">
          <reference field="4294967294" count="1" selected="0">
            <x v="2"/>
          </reference>
          <reference field="1" count="1" selected="0">
            <x v="9"/>
          </reference>
        </references>
      </pivotArea>
    </chartFormat>
    <chartFormat chart="9" format="169" series="1">
      <pivotArea type="data" outline="0" fieldPosition="0">
        <references count="1">
          <reference field="4294967294" count="1" selected="0">
            <x v="3"/>
          </reference>
        </references>
      </pivotArea>
    </chartFormat>
    <chartFormat chart="9" format="170">
      <pivotArea type="data" outline="0" fieldPosition="0">
        <references count="2">
          <reference field="4294967294" count="1" selected="0">
            <x v="3"/>
          </reference>
          <reference field="1" count="1" selected="0">
            <x v="0"/>
          </reference>
        </references>
      </pivotArea>
    </chartFormat>
    <chartFormat chart="9" format="171">
      <pivotArea type="data" outline="0" fieldPosition="0">
        <references count="2">
          <reference field="4294967294" count="1" selected="0">
            <x v="3"/>
          </reference>
          <reference field="1" count="1" selected="0">
            <x v="1"/>
          </reference>
        </references>
      </pivotArea>
    </chartFormat>
    <chartFormat chart="9" format="172">
      <pivotArea type="data" outline="0" fieldPosition="0">
        <references count="2">
          <reference field="4294967294" count="1" selected="0">
            <x v="3"/>
          </reference>
          <reference field="1" count="1" selected="0">
            <x v="2"/>
          </reference>
        </references>
      </pivotArea>
    </chartFormat>
    <chartFormat chart="9" format="173">
      <pivotArea type="data" outline="0" fieldPosition="0">
        <references count="2">
          <reference field="4294967294" count="1" selected="0">
            <x v="3"/>
          </reference>
          <reference field="1" count="1" selected="0">
            <x v="3"/>
          </reference>
        </references>
      </pivotArea>
    </chartFormat>
    <chartFormat chart="9" format="174">
      <pivotArea type="data" outline="0" fieldPosition="0">
        <references count="2">
          <reference field="4294967294" count="1" selected="0">
            <x v="3"/>
          </reference>
          <reference field="1" count="1" selected="0">
            <x v="4"/>
          </reference>
        </references>
      </pivotArea>
    </chartFormat>
    <chartFormat chart="9" format="175">
      <pivotArea type="data" outline="0" fieldPosition="0">
        <references count="2">
          <reference field="4294967294" count="1" selected="0">
            <x v="3"/>
          </reference>
          <reference field="1" count="1" selected="0">
            <x v="5"/>
          </reference>
        </references>
      </pivotArea>
    </chartFormat>
    <chartFormat chart="9" format="176">
      <pivotArea type="data" outline="0" fieldPosition="0">
        <references count="2">
          <reference field="4294967294" count="1" selected="0">
            <x v="3"/>
          </reference>
          <reference field="1" count="1" selected="0">
            <x v="6"/>
          </reference>
        </references>
      </pivotArea>
    </chartFormat>
    <chartFormat chart="9" format="177">
      <pivotArea type="data" outline="0" fieldPosition="0">
        <references count="2">
          <reference field="4294967294" count="1" selected="0">
            <x v="3"/>
          </reference>
          <reference field="1" count="1" selected="0">
            <x v="7"/>
          </reference>
        </references>
      </pivotArea>
    </chartFormat>
    <chartFormat chart="9" format="178">
      <pivotArea type="data" outline="0" fieldPosition="0">
        <references count="2">
          <reference field="4294967294" count="1" selected="0">
            <x v="3"/>
          </reference>
          <reference field="1" count="1" selected="0">
            <x v="8"/>
          </reference>
        </references>
      </pivotArea>
    </chartFormat>
    <chartFormat chart="9" format="179">
      <pivotArea type="data" outline="0" fieldPosition="0">
        <references count="2">
          <reference field="4294967294" count="1" selected="0">
            <x v="3"/>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ABDF0C-5AA5-4F54-9573-69A1D01C4E64}" sourceName="Month">
  <pivotTables>
    <pivotTable tabId="3" name="PivotTable1"/>
  </pivotTables>
  <data>
    <tabular pivotCacheId="118486326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0D98D9-DA44-4B89-A27B-2B50F3DBD721}" sourceName="Region">
  <pivotTables>
    <pivotTable tabId="3" name="PivotTable1"/>
  </pivotTables>
  <data>
    <tabular pivotCacheId="118486326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A990DC6-163C-4203-A98A-6C49977F73A4}" sourceName="Channel">
  <pivotTables>
    <pivotTable tabId="3" name="PivotTable1"/>
  </pivotTables>
  <data>
    <tabular pivotCacheId="1184863265">
      <items count="6">
        <i x="2" s="1"/>
        <i x="0" s="1"/>
        <i x="1" s="1"/>
        <i x="3"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531D8D34-9A8C-4B54-87D8-E3B0C1AFAF28}" sourceName="Campaign Name">
  <pivotTables>
    <pivotTable tabId="3" name="PivotTable1"/>
  </pivotTables>
  <data>
    <tabular pivotCacheId="1184863265">
      <items count="10">
        <i x="3" s="1"/>
        <i x="5" s="1"/>
        <i x="9" s="1"/>
        <i x="8" s="1"/>
        <i x="4" s="1"/>
        <i x="6" s="1"/>
        <i x="7"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65B1917-3A55-493D-BA22-0BCBDF979BBF}" cache="Slicer_Month" caption="Month" style="SlicerStyleLight4" rowHeight="241300"/>
  <slicer name="Region" xr10:uid="{2B34F8DD-C514-4A43-AA2A-77EADA9ACE9B}" cache="Slicer_Region" caption="Region" style="SlicerStyleLight3" rowHeight="241300"/>
  <slicer name="Channel" xr10:uid="{FD66A8C0-514D-47A0-AC2A-0FF45C717D91}" cache="Slicer_Channel" caption="Channel" style="Channel" rowHeight="216000"/>
  <slicer name="Campaign Name" xr10:uid="{1FCF7E61-9861-4F72-81DC-DFB7C9145E07}" cache="Slicer_Campaign_Name" caption="Campaign Nam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7DA214-0E0B-4A52-A5BB-D0C3A10A603D}" name="tbl_campaigns" displayName="tbl_campaigns" ref="A1:P101" totalsRowShown="0" headerRowDxfId="156">
  <autoFilter ref="A1:P101" xr:uid="{347DA214-0E0B-4A52-A5BB-D0C3A10A603D}"/>
  <tableColumns count="16">
    <tableColumn id="1" xr3:uid="{5CEB9E45-0CA7-48F6-BA67-BFB301B94F80}" name="Campaign ID"/>
    <tableColumn id="2" xr3:uid="{4D4EE1F4-8274-4F90-B534-662913108198}" name="Campaign Name"/>
    <tableColumn id="3" xr3:uid="{A884A4E0-D9F7-4772-B963-621F9FA4D987}" name="Channel"/>
    <tableColumn id="4" xr3:uid="{2F0DA54A-C3DE-4261-99CD-8C21745F9E00}" name="Region"/>
    <tableColumn id="5" xr3:uid="{9B372B25-F110-47C5-8A8D-40C11F9AC6D0}" name="Start Date" dataDxfId="149"/>
    <tableColumn id="6" xr3:uid="{74309659-3124-4D1B-805D-60C34D00091A}" name="End Date" dataDxfId="148"/>
    <tableColumn id="7" xr3:uid="{7B2B852A-CD3A-490B-B4B8-FE6C395241F2}" name="Impressions"/>
    <tableColumn id="8" xr3:uid="{D9CCD1CC-9055-4350-9BAF-70CEA580795F}" name="Clicks"/>
    <tableColumn id="9" xr3:uid="{3476E3A3-7080-4B59-ADB4-76BBD2EA72CE}" name="Leads"/>
    <tableColumn id="10" xr3:uid="{2198660B-5F2B-4E2C-85B7-9167B2BC793B}" name="Conversions"/>
    <tableColumn id="11" xr3:uid="{F95E3172-7BDE-4F7E-BF97-50734C907E55}" name="Spend" dataDxfId="155"/>
    <tableColumn id="12" xr3:uid="{E820F8AF-D434-4369-A198-2688C8F048C7}" name="Revenue" dataDxfId="154"/>
    <tableColumn id="13" xr3:uid="{B882EF02-43CF-4E7A-9F83-DF232623839E}" name="CTR" dataDxfId="153">
      <calculatedColumnFormula>IF(tbl_campaigns[[#This Row],[Impressions]]=0,0,tbl_campaigns[[#This Row],[Clicks]]/tbl_campaigns[[#This Row],[Impressions]])</calculatedColumnFormula>
    </tableColumn>
    <tableColumn id="14" xr3:uid="{F20E9D5C-547B-4880-B444-1B49F2409A80}" name="Conversion Rate" dataDxfId="152">
      <calculatedColumnFormula>IF(tbl_campaigns[[#This Row],[Clicks]]=0,0,tbl_campaigns[[#This Row],[Conversions]]/tbl_campaigns[[#This Row],[Clicks]])</calculatedColumnFormula>
    </tableColumn>
    <tableColumn id="15" xr3:uid="{D2B84352-2BF3-4549-80EB-C4923E03DD5A}" name="Cost Per Lead" dataDxfId="151">
      <calculatedColumnFormula>IF(tbl_campaigns[[#This Row],[Leads]]=0,0,tbl_campaigns[[#This Row],[Spend]]/tbl_campaigns[[#This Row],[Leads]])</calculatedColumnFormula>
    </tableColumn>
    <tableColumn id="16" xr3:uid="{C7E136C8-236F-4367-8B9E-9270FC31B519}" name="ROI Percentage" dataDxfId="150">
      <calculatedColumnFormula>IF(tbl_campaigns[[#This Row],[Spend]]=0,0,(tbl_campaigns[[#This Row],[Revenue]]-tbl_campaigns[[#This Row],[Spend]]) / tbl_campaigns[[#This Row],[Spend]])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4FAA3B-BE9B-4B1C-8978-C0F2636C30FF}" name="Table2" displayName="Table2" ref="D15:G19" totalsRowShown="0" headerRowDxfId="6" dataDxfId="10" headerRowBorderDxfId="8" tableBorderDxfId="9" totalsRowBorderDxfId="7">
  <tableColumns count="4">
    <tableColumn id="2" xr3:uid="{5E0D32BC-A17D-4846-B930-2B597C60C4C3}" name="Metric" dataDxfId="5"/>
    <tableColumn id="3" xr3:uid="{40E40FDD-554B-4C2F-A1CB-2767AC1D8947}" name="Campaign 1" dataDxfId="4"/>
    <tableColumn id="6" xr3:uid="{FE958CD6-E750-4300-B334-D7FAAED5164B}" name="Campaign 2" dataDxfId="3"/>
    <tableColumn id="9" xr3:uid="{BB778DCB-53B8-4C12-B242-357E02F3FEB4}" name="Winner" dataDxfId="2">
      <calculatedColumnFormula>IF(D16="Spend",
IF(E16&lt;F16,$D$13,$F$13),
IF(E16&gt;F16,$D$13,$F$13))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workbookViewId="0">
      <selection activeCell="C10" sqref="C10"/>
    </sheetView>
  </sheetViews>
  <sheetFormatPr defaultRowHeight="15" x14ac:dyDescent="0.25"/>
  <cols>
    <col min="1" max="1" width="9.7109375" customWidth="1"/>
    <col min="2" max="2" width="20.5703125" customWidth="1"/>
    <col min="3" max="3" width="16.28515625" customWidth="1"/>
    <col min="4" max="4" width="9.28515625" customWidth="1"/>
    <col min="5" max="5" width="20.140625" style="9" customWidth="1"/>
    <col min="6" max="6" width="17.7109375" style="11" customWidth="1"/>
    <col min="7" max="7" width="11.28515625" style="6" customWidth="1"/>
    <col min="8" max="8" width="9.28515625" style="6" customWidth="1"/>
    <col min="9" max="10" width="9.140625" customWidth="1"/>
    <col min="11" max="11" width="11" customWidth="1"/>
    <col min="12" max="12" width="14" customWidth="1"/>
    <col min="13" max="13" width="12" style="5" customWidth="1"/>
    <col min="14" max="14" width="13" style="5" customWidth="1"/>
    <col min="15" max="15" width="11" style="2" customWidth="1"/>
    <col min="16" max="16" width="17.5703125" style="2" customWidth="1"/>
    <col min="17" max="17" width="18" style="2" customWidth="1"/>
    <col min="18" max="18" width="19" style="2" customWidth="1"/>
  </cols>
  <sheetData>
    <row r="1" spans="1:18" x14ac:dyDescent="0.25">
      <c r="A1" s="1" t="s">
        <v>129</v>
      </c>
      <c r="B1" s="1" t="s">
        <v>135</v>
      </c>
      <c r="C1" s="1" t="s">
        <v>0</v>
      </c>
      <c r="D1" s="1" t="s">
        <v>1</v>
      </c>
      <c r="E1" s="8" t="s">
        <v>130</v>
      </c>
      <c r="F1" s="10" t="s">
        <v>131</v>
      </c>
      <c r="G1" s="1" t="s">
        <v>2</v>
      </c>
      <c r="H1" s="1" t="s">
        <v>3</v>
      </c>
      <c r="I1" s="1" t="s">
        <v>4</v>
      </c>
      <c r="J1" s="1" t="s">
        <v>5</v>
      </c>
      <c r="K1" s="4" t="s">
        <v>6</v>
      </c>
      <c r="L1" s="4" t="s">
        <v>7</v>
      </c>
      <c r="M1" s="3" t="s">
        <v>8</v>
      </c>
      <c r="N1" s="3" t="s">
        <v>132</v>
      </c>
      <c r="O1" s="3" t="s">
        <v>133</v>
      </c>
      <c r="P1" s="3" t="s">
        <v>134</v>
      </c>
      <c r="Q1"/>
      <c r="R1"/>
    </row>
    <row r="2" spans="1:18" x14ac:dyDescent="0.25">
      <c r="A2" t="s">
        <v>9</v>
      </c>
      <c r="B2" t="s">
        <v>10</v>
      </c>
      <c r="C2" t="s">
        <v>11</v>
      </c>
      <c r="D2" t="s">
        <v>12</v>
      </c>
      <c r="E2" s="9">
        <v>46054</v>
      </c>
      <c r="F2" s="11">
        <v>46068</v>
      </c>
      <c r="G2">
        <v>38289</v>
      </c>
      <c r="H2">
        <v>4016</v>
      </c>
      <c r="I2">
        <v>309</v>
      </c>
      <c r="J2">
        <v>42</v>
      </c>
      <c r="K2" s="5">
        <v>4928.6899999999996</v>
      </c>
      <c r="L2" s="5">
        <v>6509.69</v>
      </c>
      <c r="M2" s="2">
        <f>IF(tbl_campaigns[[#This Row],[Impressions]]=0,0,tbl_campaigns[[#This Row],[Clicks]]/tbl_campaigns[[#This Row],[Impressions]])</f>
        <v>0.10488652093290501</v>
      </c>
      <c r="N2" s="2">
        <f>IF(tbl_campaigns[[#This Row],[Clicks]]=0,0,tbl_campaigns[[#This Row],[Conversions]]/tbl_campaigns[[#This Row],[Clicks]])</f>
        <v>1.045816733067729E-2</v>
      </c>
      <c r="O2" s="2">
        <f>IF(tbl_campaigns[[#This Row],[Leads]]=0,0,tbl_campaigns[[#This Row],[Spend]]/tbl_campaigns[[#This Row],[Leads]])</f>
        <v>15.950453074433655</v>
      </c>
      <c r="P2" s="2">
        <f>IF(tbl_campaigns[[#This Row],[Spend]]=0,0,(tbl_campaigns[[#This Row],[Revenue]]-tbl_campaigns[[#This Row],[Spend]]) / tbl_campaigns[[#This Row],[Spend]])</f>
        <v>0.32077489150261024</v>
      </c>
      <c r="Q2"/>
      <c r="R2"/>
    </row>
    <row r="3" spans="1:18" x14ac:dyDescent="0.25">
      <c r="A3" t="s">
        <v>13</v>
      </c>
      <c r="B3" t="s">
        <v>10</v>
      </c>
      <c r="C3" t="s">
        <v>14</v>
      </c>
      <c r="D3" t="s">
        <v>15</v>
      </c>
      <c r="E3" s="9">
        <v>46087</v>
      </c>
      <c r="F3" s="11">
        <v>46113</v>
      </c>
      <c r="G3">
        <v>23478</v>
      </c>
      <c r="H3">
        <v>2149</v>
      </c>
      <c r="I3">
        <v>303</v>
      </c>
      <c r="J3">
        <v>127</v>
      </c>
      <c r="K3" s="5">
        <v>2153.3000000000002</v>
      </c>
      <c r="L3" s="5">
        <v>7405.65</v>
      </c>
      <c r="M3" s="2">
        <f>IF(tbl_campaigns[[#This Row],[Impressions]]=0,0,tbl_campaigns[[#This Row],[Clicks]]/tbl_campaigns[[#This Row],[Impressions]])</f>
        <v>9.1532498509242693E-2</v>
      </c>
      <c r="N3" s="2">
        <f>IF(tbl_campaigns[[#This Row],[Clicks]]=0,0,tbl_campaigns[[#This Row],[Conversions]]/tbl_campaigns[[#This Row],[Clicks]])</f>
        <v>5.9097254536993951E-2</v>
      </c>
      <c r="O3" s="2">
        <f>IF(tbl_campaigns[[#This Row],[Leads]]=0,0,tbl_campaigns[[#This Row],[Spend]]/tbl_campaigns[[#This Row],[Leads]])</f>
        <v>7.1066006600660074</v>
      </c>
      <c r="P3" s="2">
        <f>IF(tbl_campaigns[[#This Row],[Spend]]=0,0,(tbl_campaigns[[#This Row],[Revenue]]-tbl_campaigns[[#This Row],[Spend]]) / tbl_campaigns[[#This Row],[Spend]])</f>
        <v>2.4392095852876974</v>
      </c>
      <c r="Q3"/>
      <c r="R3"/>
    </row>
    <row r="4" spans="1:18" x14ac:dyDescent="0.25">
      <c r="A4" t="s">
        <v>16</v>
      </c>
      <c r="B4" t="s">
        <v>17</v>
      </c>
      <c r="C4" t="s">
        <v>14</v>
      </c>
      <c r="D4" t="s">
        <v>18</v>
      </c>
      <c r="E4" s="9">
        <v>46066</v>
      </c>
      <c r="F4" s="11">
        <v>46081</v>
      </c>
      <c r="G4">
        <v>40379</v>
      </c>
      <c r="H4">
        <v>1881</v>
      </c>
      <c r="I4">
        <v>444</v>
      </c>
      <c r="J4">
        <v>46</v>
      </c>
      <c r="K4" s="5">
        <v>1195.5899999999999</v>
      </c>
      <c r="L4" s="5">
        <v>1874.11</v>
      </c>
      <c r="M4" s="2">
        <f>IF(tbl_campaigns[[#This Row],[Impressions]]=0,0,tbl_campaigns[[#This Row],[Clicks]]/tbl_campaigns[[#This Row],[Impressions]])</f>
        <v>4.6583620198618093E-2</v>
      </c>
      <c r="N4" s="2">
        <f>IF(tbl_campaigns[[#This Row],[Clicks]]=0,0,tbl_campaigns[[#This Row],[Conversions]]/tbl_campaigns[[#This Row],[Clicks]])</f>
        <v>2.4455077086656035E-2</v>
      </c>
      <c r="O4" s="2">
        <f>IF(tbl_campaigns[[#This Row],[Leads]]=0,0,tbl_campaigns[[#This Row],[Spend]]/tbl_campaigns[[#This Row],[Leads]])</f>
        <v>2.69277027027027</v>
      </c>
      <c r="P4" s="2">
        <f>IF(tbl_campaigns[[#This Row],[Spend]]=0,0,(tbl_campaigns[[#This Row],[Revenue]]-tbl_campaigns[[#This Row],[Spend]]) / tbl_campaigns[[#This Row],[Spend]])</f>
        <v>0.56751896553166226</v>
      </c>
      <c r="Q4"/>
      <c r="R4"/>
    </row>
    <row r="5" spans="1:18" x14ac:dyDescent="0.25">
      <c r="A5" t="s">
        <v>19</v>
      </c>
      <c r="B5" t="s">
        <v>20</v>
      </c>
      <c r="C5" t="s">
        <v>21</v>
      </c>
      <c r="D5" t="s">
        <v>12</v>
      </c>
      <c r="E5" s="9">
        <v>46126</v>
      </c>
      <c r="F5" s="11">
        <v>46134</v>
      </c>
      <c r="G5">
        <v>115647</v>
      </c>
      <c r="H5">
        <v>8527</v>
      </c>
      <c r="I5">
        <v>2296</v>
      </c>
      <c r="J5">
        <v>275</v>
      </c>
      <c r="K5" s="5">
        <v>7798.37</v>
      </c>
      <c r="L5" s="5">
        <v>20575.46</v>
      </c>
      <c r="M5" s="2">
        <f>IF(tbl_campaigns[[#This Row],[Impressions]]=0,0,tbl_campaigns[[#This Row],[Clicks]]/tbl_campaigns[[#This Row],[Impressions]])</f>
        <v>7.3732997829602145E-2</v>
      </c>
      <c r="N5" s="2">
        <f>IF(tbl_campaigns[[#This Row],[Clicks]]=0,0,tbl_campaigns[[#This Row],[Conversions]]/tbl_campaigns[[#This Row],[Clicks]])</f>
        <v>3.2250498416793713E-2</v>
      </c>
      <c r="O5" s="2">
        <f>IF(tbl_campaigns[[#This Row],[Leads]]=0,0,tbl_campaigns[[#This Row],[Spend]]/tbl_campaigns[[#This Row],[Leads]])</f>
        <v>3.3965026132404179</v>
      </c>
      <c r="P5" s="2">
        <f>IF(tbl_campaigns[[#This Row],[Spend]]=0,0,(tbl_campaigns[[#This Row],[Revenue]]-tbl_campaigns[[#This Row],[Spend]]) / tbl_campaigns[[#This Row],[Spend]])</f>
        <v>1.6384308515753934</v>
      </c>
      <c r="Q5"/>
      <c r="R5"/>
    </row>
    <row r="6" spans="1:18" x14ac:dyDescent="0.25">
      <c r="A6" t="s">
        <v>22</v>
      </c>
      <c r="B6" t="s">
        <v>23</v>
      </c>
      <c r="C6" t="s">
        <v>24</v>
      </c>
      <c r="D6" t="s">
        <v>12</v>
      </c>
      <c r="E6" s="9">
        <v>46096</v>
      </c>
      <c r="F6" s="11">
        <v>46109</v>
      </c>
      <c r="G6">
        <v>112349</v>
      </c>
      <c r="H6">
        <v>2139</v>
      </c>
      <c r="I6">
        <v>146</v>
      </c>
      <c r="J6">
        <v>62</v>
      </c>
      <c r="K6" s="5">
        <v>2209.2399999999998</v>
      </c>
      <c r="L6" s="5">
        <v>5080.53</v>
      </c>
      <c r="M6" s="2">
        <f>IF(tbl_campaigns[[#This Row],[Impressions]]=0,0,tbl_campaigns[[#This Row],[Clicks]]/tbl_campaigns[[#This Row],[Impressions]])</f>
        <v>1.9038887751559871E-2</v>
      </c>
      <c r="N6" s="2">
        <f>IF(tbl_campaigns[[#This Row],[Clicks]]=0,0,tbl_campaigns[[#This Row],[Conversions]]/tbl_campaigns[[#This Row],[Clicks]])</f>
        <v>2.8985507246376812E-2</v>
      </c>
      <c r="O6" s="2">
        <f>IF(tbl_campaigns[[#This Row],[Leads]]=0,0,tbl_campaigns[[#This Row],[Spend]]/tbl_campaigns[[#This Row],[Leads]])</f>
        <v>15.131780821917808</v>
      </c>
      <c r="P6" s="2">
        <f>IF(tbl_campaigns[[#This Row],[Spend]]=0,0,(tbl_campaigns[[#This Row],[Revenue]]-tbl_campaigns[[#This Row],[Spend]]) / tbl_campaigns[[#This Row],[Spend]])</f>
        <v>1.2996731907805401</v>
      </c>
      <c r="Q6"/>
      <c r="R6"/>
    </row>
    <row r="7" spans="1:18" x14ac:dyDescent="0.25">
      <c r="A7" t="s">
        <v>25</v>
      </c>
      <c r="B7" t="s">
        <v>10</v>
      </c>
      <c r="C7" t="s">
        <v>14</v>
      </c>
      <c r="D7" t="s">
        <v>26</v>
      </c>
      <c r="E7" s="9">
        <v>46071</v>
      </c>
      <c r="F7" s="11">
        <v>46086</v>
      </c>
      <c r="G7">
        <v>79429</v>
      </c>
      <c r="H7">
        <v>6977</v>
      </c>
      <c r="I7">
        <v>766</v>
      </c>
      <c r="J7">
        <v>209</v>
      </c>
      <c r="K7" s="5">
        <v>3164.53</v>
      </c>
      <c r="L7" s="5">
        <v>11856.44</v>
      </c>
      <c r="M7" s="2">
        <f>IF(tbl_campaigns[[#This Row],[Impressions]]=0,0,tbl_campaigns[[#This Row],[Clicks]]/tbl_campaigns[[#This Row],[Impressions]])</f>
        <v>8.7839454103664907E-2</v>
      </c>
      <c r="N7" s="2">
        <f>IF(tbl_campaigns[[#This Row],[Clicks]]=0,0,tbl_campaigns[[#This Row],[Conversions]]/tbl_campaigns[[#This Row],[Clicks]])</f>
        <v>2.9955568295829151E-2</v>
      </c>
      <c r="O7" s="2">
        <f>IF(tbl_campaigns[[#This Row],[Leads]]=0,0,tbl_campaigns[[#This Row],[Spend]]/tbl_campaigns[[#This Row],[Leads]])</f>
        <v>4.1312402088772853</v>
      </c>
      <c r="P7" s="2">
        <f>IF(tbl_campaigns[[#This Row],[Spend]]=0,0,(tbl_campaigns[[#This Row],[Revenue]]-tbl_campaigns[[#This Row],[Spend]]) / tbl_campaigns[[#This Row],[Spend]])</f>
        <v>2.7466669616025126</v>
      </c>
      <c r="Q7"/>
      <c r="R7"/>
    </row>
    <row r="8" spans="1:18" x14ac:dyDescent="0.25">
      <c r="A8" t="s">
        <v>27</v>
      </c>
      <c r="B8" t="s">
        <v>10</v>
      </c>
      <c r="C8" t="s">
        <v>21</v>
      </c>
      <c r="D8" t="s">
        <v>15</v>
      </c>
      <c r="E8" s="9">
        <v>46091</v>
      </c>
      <c r="F8" s="11">
        <v>46121</v>
      </c>
      <c r="G8">
        <v>52087</v>
      </c>
      <c r="H8">
        <v>2338</v>
      </c>
      <c r="I8">
        <v>573</v>
      </c>
      <c r="J8">
        <v>214</v>
      </c>
      <c r="K8" s="5">
        <v>2524.61</v>
      </c>
      <c r="L8" s="5">
        <v>11907.29</v>
      </c>
      <c r="M8" s="2">
        <f>IF(tbl_campaigns[[#This Row],[Impressions]]=0,0,tbl_campaigns[[#This Row],[Clicks]]/tbl_campaigns[[#This Row],[Impressions]])</f>
        <v>4.4886439994624376E-2</v>
      </c>
      <c r="N8" s="2">
        <f>IF(tbl_campaigns[[#This Row],[Clicks]]=0,0,tbl_campaigns[[#This Row],[Conversions]]/tbl_campaigns[[#This Row],[Clicks]])</f>
        <v>9.153122326775022E-2</v>
      </c>
      <c r="O8" s="2">
        <f>IF(tbl_campaigns[[#This Row],[Leads]]=0,0,tbl_campaigns[[#This Row],[Spend]]/tbl_campaigns[[#This Row],[Leads]])</f>
        <v>4.4059511343804543</v>
      </c>
      <c r="P8" s="2">
        <f>IF(tbl_campaigns[[#This Row],[Spend]]=0,0,(tbl_campaigns[[#This Row],[Revenue]]-tbl_campaigns[[#This Row],[Spend]]) / tbl_campaigns[[#This Row],[Spend]])</f>
        <v>3.7164869029275809</v>
      </c>
      <c r="Q8"/>
      <c r="R8"/>
    </row>
    <row r="9" spans="1:18" x14ac:dyDescent="0.25">
      <c r="A9" t="s">
        <v>28</v>
      </c>
      <c r="B9" t="s">
        <v>23</v>
      </c>
      <c r="C9" t="s">
        <v>14</v>
      </c>
      <c r="D9" t="s">
        <v>12</v>
      </c>
      <c r="E9" s="9">
        <v>46130</v>
      </c>
      <c r="F9" s="11">
        <v>46138</v>
      </c>
      <c r="G9">
        <v>50021</v>
      </c>
      <c r="H9">
        <v>1262</v>
      </c>
      <c r="I9">
        <v>261</v>
      </c>
      <c r="J9">
        <v>71</v>
      </c>
      <c r="K9" s="5">
        <v>2508.06</v>
      </c>
      <c r="L9" s="5">
        <v>5020.47</v>
      </c>
      <c r="M9" s="2">
        <f>IF(tbl_campaigns[[#This Row],[Impressions]]=0,0,tbl_campaigns[[#This Row],[Clicks]]/tbl_campaigns[[#This Row],[Impressions]])</f>
        <v>2.5229403650466803E-2</v>
      </c>
      <c r="N9" s="2">
        <f>IF(tbl_campaigns[[#This Row],[Clicks]]=0,0,tbl_campaigns[[#This Row],[Conversions]]/tbl_campaigns[[#This Row],[Clicks]])</f>
        <v>5.6259904912836764E-2</v>
      </c>
      <c r="O9" s="2">
        <f>IF(tbl_campaigns[[#This Row],[Leads]]=0,0,tbl_campaigns[[#This Row],[Spend]]/tbl_campaigns[[#This Row],[Leads]])</f>
        <v>9.6094252873563217</v>
      </c>
      <c r="P9" s="2">
        <f>IF(tbl_campaigns[[#This Row],[Spend]]=0,0,(tbl_campaigns[[#This Row],[Revenue]]-tbl_campaigns[[#This Row],[Spend]]) / tbl_campaigns[[#This Row],[Spend]])</f>
        <v>1.0017344082677448</v>
      </c>
      <c r="Q9"/>
      <c r="R9"/>
    </row>
    <row r="10" spans="1:18" x14ac:dyDescent="0.25">
      <c r="A10" t="s">
        <v>29</v>
      </c>
      <c r="B10" t="s">
        <v>30</v>
      </c>
      <c r="C10" t="s">
        <v>31</v>
      </c>
      <c r="D10" t="s">
        <v>12</v>
      </c>
      <c r="E10" s="9">
        <v>46050</v>
      </c>
      <c r="F10" s="11">
        <v>46077</v>
      </c>
      <c r="G10">
        <v>85435</v>
      </c>
      <c r="H10">
        <v>7482</v>
      </c>
      <c r="I10">
        <v>2733</v>
      </c>
      <c r="J10">
        <v>959</v>
      </c>
      <c r="K10" s="5">
        <v>1571.54</v>
      </c>
      <c r="L10" s="5">
        <v>2719.7</v>
      </c>
      <c r="M10" s="2">
        <f>IF(tbl_campaigns[[#This Row],[Impressions]]=0,0,tbl_campaigns[[#This Row],[Clicks]]/tbl_campaigns[[#This Row],[Impressions]])</f>
        <v>8.7575349681044065E-2</v>
      </c>
      <c r="N10" s="2">
        <f>IF(tbl_campaigns[[#This Row],[Clicks]]=0,0,tbl_campaigns[[#This Row],[Conversions]]/tbl_campaigns[[#This Row],[Clicks]])</f>
        <v>0.12817428495054797</v>
      </c>
      <c r="O10" s="2">
        <f>IF(tbl_campaigns[[#This Row],[Leads]]=0,0,tbl_campaigns[[#This Row],[Spend]]/tbl_campaigns[[#This Row],[Leads]])</f>
        <v>0.57502378338821802</v>
      </c>
      <c r="P10" s="2">
        <f>IF(tbl_campaigns[[#This Row],[Spend]]=0,0,(tbl_campaigns[[#This Row],[Revenue]]-tbl_campaigns[[#This Row],[Spend]]) / tbl_campaigns[[#This Row],[Spend]])</f>
        <v>0.7305954668668948</v>
      </c>
      <c r="Q10"/>
      <c r="R10"/>
    </row>
    <row r="11" spans="1:18" x14ac:dyDescent="0.25">
      <c r="A11" t="s">
        <v>32</v>
      </c>
      <c r="B11" t="s">
        <v>23</v>
      </c>
      <c r="C11" t="s">
        <v>21</v>
      </c>
      <c r="D11" t="s">
        <v>12</v>
      </c>
      <c r="E11" s="9">
        <v>46118</v>
      </c>
      <c r="F11" s="11">
        <v>46143</v>
      </c>
      <c r="G11">
        <v>76155</v>
      </c>
      <c r="H11">
        <v>8354</v>
      </c>
      <c r="I11">
        <v>2490</v>
      </c>
      <c r="J11">
        <v>837</v>
      </c>
      <c r="K11" s="5">
        <v>3214.97</v>
      </c>
      <c r="L11" s="5">
        <v>16042.18</v>
      </c>
      <c r="M11" s="2">
        <f>IF(tbl_campaigns[[#This Row],[Impressions]]=0,0,tbl_campaigns[[#This Row],[Clicks]]/tbl_campaigns[[#This Row],[Impressions]])</f>
        <v>0.10969732781826538</v>
      </c>
      <c r="N11" s="2">
        <f>IF(tbl_campaigns[[#This Row],[Clicks]]=0,0,tbl_campaigns[[#This Row],[Conversions]]/tbl_campaigns[[#This Row],[Clicks]])</f>
        <v>0.10019152501795547</v>
      </c>
      <c r="O11" s="2">
        <f>IF(tbl_campaigns[[#This Row],[Leads]]=0,0,tbl_campaigns[[#This Row],[Spend]]/tbl_campaigns[[#This Row],[Leads]])</f>
        <v>1.291152610441767</v>
      </c>
      <c r="P11" s="2">
        <f>IF(tbl_campaigns[[#This Row],[Spend]]=0,0,(tbl_campaigns[[#This Row],[Revenue]]-tbl_campaigns[[#This Row],[Spend]]) / tbl_campaigns[[#This Row],[Spend]])</f>
        <v>3.9898381633421156</v>
      </c>
      <c r="Q11"/>
      <c r="R11"/>
    </row>
    <row r="12" spans="1:18" x14ac:dyDescent="0.25">
      <c r="A12" t="s">
        <v>33</v>
      </c>
      <c r="B12" t="s">
        <v>34</v>
      </c>
      <c r="C12" t="s">
        <v>21</v>
      </c>
      <c r="D12" t="s">
        <v>18</v>
      </c>
      <c r="E12" s="9">
        <v>46034</v>
      </c>
      <c r="F12" s="11">
        <v>46042</v>
      </c>
      <c r="G12">
        <v>34371</v>
      </c>
      <c r="H12">
        <v>1626</v>
      </c>
      <c r="I12">
        <v>263</v>
      </c>
      <c r="J12">
        <v>121</v>
      </c>
      <c r="K12" s="5">
        <v>5603.61</v>
      </c>
      <c r="L12" s="5">
        <v>19424.099999999999</v>
      </c>
      <c r="M12" s="2">
        <f>IF(tbl_campaigns[[#This Row],[Impressions]]=0,0,tbl_campaigns[[#This Row],[Clicks]]/tbl_campaigns[[#This Row],[Impressions]])</f>
        <v>4.730732303395304E-2</v>
      </c>
      <c r="N12" s="2">
        <f>IF(tbl_campaigns[[#This Row],[Clicks]]=0,0,tbl_campaigns[[#This Row],[Conversions]]/tbl_campaigns[[#This Row],[Clicks]])</f>
        <v>7.441574415744158E-2</v>
      </c>
      <c r="O12" s="2">
        <f>IF(tbl_campaigns[[#This Row],[Leads]]=0,0,tbl_campaigns[[#This Row],[Spend]]/tbl_campaigns[[#This Row],[Leads]])</f>
        <v>21.306501901140685</v>
      </c>
      <c r="P12" s="2">
        <f>IF(tbl_campaigns[[#This Row],[Spend]]=0,0,(tbl_campaigns[[#This Row],[Revenue]]-tbl_campaigns[[#This Row],[Spend]]) / tbl_campaigns[[#This Row],[Spend]])</f>
        <v>2.4663547249005551</v>
      </c>
      <c r="Q12"/>
      <c r="R12"/>
    </row>
    <row r="13" spans="1:18" x14ac:dyDescent="0.25">
      <c r="A13" t="s">
        <v>35</v>
      </c>
      <c r="B13" t="s">
        <v>36</v>
      </c>
      <c r="C13" t="s">
        <v>37</v>
      </c>
      <c r="D13" t="s">
        <v>18</v>
      </c>
      <c r="E13" s="9">
        <v>46090</v>
      </c>
      <c r="F13" s="11">
        <v>46105</v>
      </c>
      <c r="G13">
        <v>92512</v>
      </c>
      <c r="H13">
        <v>1188</v>
      </c>
      <c r="I13">
        <v>448</v>
      </c>
      <c r="J13">
        <v>204</v>
      </c>
      <c r="K13" s="5">
        <v>1359.14</v>
      </c>
      <c r="L13" s="5">
        <v>6200.66</v>
      </c>
      <c r="M13" s="2">
        <f>IF(tbl_campaigns[[#This Row],[Impressions]]=0,0,tbl_campaigns[[#This Row],[Clicks]]/tbl_campaigns[[#This Row],[Impressions]])</f>
        <v>1.2841577308889657E-2</v>
      </c>
      <c r="N13" s="2">
        <f>IF(tbl_campaigns[[#This Row],[Clicks]]=0,0,tbl_campaigns[[#This Row],[Conversions]]/tbl_campaigns[[#This Row],[Clicks]])</f>
        <v>0.17171717171717171</v>
      </c>
      <c r="O13" s="2">
        <f>IF(tbl_campaigns[[#This Row],[Leads]]=0,0,tbl_campaigns[[#This Row],[Spend]]/tbl_campaigns[[#This Row],[Leads]])</f>
        <v>3.033794642857143</v>
      </c>
      <c r="P13" s="2">
        <f>IF(tbl_campaigns[[#This Row],[Spend]]=0,0,(tbl_campaigns[[#This Row],[Revenue]]-tbl_campaigns[[#This Row],[Spend]]) / tbl_campaigns[[#This Row],[Spend]])</f>
        <v>3.5621937401592176</v>
      </c>
      <c r="Q13"/>
      <c r="R13"/>
    </row>
    <row r="14" spans="1:18" x14ac:dyDescent="0.25">
      <c r="A14" t="s">
        <v>38</v>
      </c>
      <c r="B14" t="s">
        <v>39</v>
      </c>
      <c r="C14" t="s">
        <v>31</v>
      </c>
      <c r="D14" t="s">
        <v>12</v>
      </c>
      <c r="E14" s="9">
        <v>46037</v>
      </c>
      <c r="F14" s="11">
        <v>46053</v>
      </c>
      <c r="G14">
        <v>76985</v>
      </c>
      <c r="H14">
        <v>3591</v>
      </c>
      <c r="I14">
        <v>1029</v>
      </c>
      <c r="J14">
        <v>21</v>
      </c>
      <c r="K14" s="5">
        <v>7653.62</v>
      </c>
      <c r="L14" s="5">
        <v>34657.440000000002</v>
      </c>
      <c r="M14" s="2">
        <f>IF(tbl_campaigns[[#This Row],[Impressions]]=0,0,tbl_campaigns[[#This Row],[Clicks]]/tbl_campaigns[[#This Row],[Impressions]])</f>
        <v>4.6645450412418001E-2</v>
      </c>
      <c r="N14" s="2">
        <f>IF(tbl_campaigns[[#This Row],[Clicks]]=0,0,tbl_campaigns[[#This Row],[Conversions]]/tbl_campaigns[[#This Row],[Clicks]])</f>
        <v>5.8479532163742687E-3</v>
      </c>
      <c r="O14" s="2">
        <f>IF(tbl_campaigns[[#This Row],[Leads]]=0,0,tbl_campaigns[[#This Row],[Spend]]/tbl_campaigns[[#This Row],[Leads]])</f>
        <v>7.4379203109815357</v>
      </c>
      <c r="P14" s="2">
        <f>IF(tbl_campaigns[[#This Row],[Spend]]=0,0,(tbl_campaigns[[#This Row],[Revenue]]-tbl_campaigns[[#This Row],[Spend]]) / tbl_campaigns[[#This Row],[Spend]])</f>
        <v>3.5282415379911733</v>
      </c>
      <c r="Q14"/>
      <c r="R14"/>
    </row>
    <row r="15" spans="1:18" x14ac:dyDescent="0.25">
      <c r="A15" t="s">
        <v>40</v>
      </c>
      <c r="B15" t="s">
        <v>39</v>
      </c>
      <c r="C15" t="s">
        <v>21</v>
      </c>
      <c r="D15" t="s">
        <v>15</v>
      </c>
      <c r="E15" s="9">
        <v>46087</v>
      </c>
      <c r="F15" s="11">
        <v>46097</v>
      </c>
      <c r="G15">
        <v>101959</v>
      </c>
      <c r="H15">
        <v>5889</v>
      </c>
      <c r="I15">
        <v>2179</v>
      </c>
      <c r="J15">
        <v>427</v>
      </c>
      <c r="K15" s="5">
        <v>1646.29</v>
      </c>
      <c r="L15" s="5">
        <v>6745.74</v>
      </c>
      <c r="M15" s="2">
        <f>IF(tbl_campaigns[[#This Row],[Impressions]]=0,0,tbl_campaigns[[#This Row],[Clicks]]/tbl_campaigns[[#This Row],[Impressions]])</f>
        <v>5.7758510773938544E-2</v>
      </c>
      <c r="N15" s="2">
        <f>IF(tbl_campaigns[[#This Row],[Clicks]]=0,0,tbl_campaigns[[#This Row],[Conversions]]/tbl_campaigns[[#This Row],[Clicks]])</f>
        <v>7.2508065885549325E-2</v>
      </c>
      <c r="O15" s="2">
        <f>IF(tbl_campaigns[[#This Row],[Leads]]=0,0,tbl_campaigns[[#This Row],[Spend]]/tbl_campaigns[[#This Row],[Leads]])</f>
        <v>0.75552547039926565</v>
      </c>
      <c r="P15" s="2">
        <f>IF(tbl_campaigns[[#This Row],[Spend]]=0,0,(tbl_campaigns[[#This Row],[Revenue]]-tbl_campaigns[[#This Row],[Spend]]) / tbl_campaigns[[#This Row],[Spend]])</f>
        <v>3.0975405305262136</v>
      </c>
      <c r="Q15"/>
      <c r="R15"/>
    </row>
    <row r="16" spans="1:18" x14ac:dyDescent="0.25">
      <c r="A16" t="s">
        <v>41</v>
      </c>
      <c r="B16" t="s">
        <v>23</v>
      </c>
      <c r="C16" t="s">
        <v>21</v>
      </c>
      <c r="D16" t="s">
        <v>26</v>
      </c>
      <c r="E16" s="9">
        <v>46099</v>
      </c>
      <c r="F16" s="11">
        <v>46116</v>
      </c>
      <c r="G16">
        <v>84042</v>
      </c>
      <c r="H16">
        <v>1319</v>
      </c>
      <c r="I16">
        <v>157</v>
      </c>
      <c r="J16">
        <v>43</v>
      </c>
      <c r="K16" s="5">
        <v>7090.41</v>
      </c>
      <c r="L16" s="5">
        <v>30916.52</v>
      </c>
      <c r="M16" s="2">
        <f>IF(tbl_campaigns[[#This Row],[Impressions]]=0,0,tbl_campaigns[[#This Row],[Clicks]]/tbl_campaigns[[#This Row],[Impressions]])</f>
        <v>1.5694533685538182E-2</v>
      </c>
      <c r="N16" s="2">
        <f>IF(tbl_campaigns[[#This Row],[Clicks]]=0,0,tbl_campaigns[[#This Row],[Conversions]]/tbl_campaigns[[#This Row],[Clicks]])</f>
        <v>3.2600454890068235E-2</v>
      </c>
      <c r="O16" s="2">
        <f>IF(tbl_campaigns[[#This Row],[Leads]]=0,0,tbl_campaigns[[#This Row],[Spend]]/tbl_campaigns[[#This Row],[Leads]])</f>
        <v>45.161847133757959</v>
      </c>
      <c r="P16" s="2">
        <f>IF(tbl_campaigns[[#This Row],[Spend]]=0,0,(tbl_campaigns[[#This Row],[Revenue]]-tbl_campaigns[[#This Row],[Spend]]) / tbl_campaigns[[#This Row],[Spend]])</f>
        <v>3.3603289513582433</v>
      </c>
      <c r="Q16"/>
      <c r="R16"/>
    </row>
    <row r="17" spans="1:18" x14ac:dyDescent="0.25">
      <c r="A17" t="s">
        <v>42</v>
      </c>
      <c r="B17" t="s">
        <v>39</v>
      </c>
      <c r="C17" t="s">
        <v>14</v>
      </c>
      <c r="D17" t="s">
        <v>26</v>
      </c>
      <c r="E17" s="9">
        <v>46053</v>
      </c>
      <c r="F17" s="11">
        <v>46078</v>
      </c>
      <c r="G17">
        <v>30322</v>
      </c>
      <c r="H17">
        <v>1350</v>
      </c>
      <c r="I17">
        <v>474</v>
      </c>
      <c r="J17">
        <v>144</v>
      </c>
      <c r="K17" s="5">
        <v>6620.17</v>
      </c>
      <c r="L17" s="5">
        <v>32547.01</v>
      </c>
      <c r="M17" s="2">
        <f>IF(tbl_campaigns[[#This Row],[Impressions]]=0,0,tbl_campaigns[[#This Row],[Clicks]]/tbl_campaigns[[#This Row],[Impressions]])</f>
        <v>4.452212914715388E-2</v>
      </c>
      <c r="N17" s="2">
        <f>IF(tbl_campaigns[[#This Row],[Clicks]]=0,0,tbl_campaigns[[#This Row],[Conversions]]/tbl_campaigns[[#This Row],[Clicks]])</f>
        <v>0.10666666666666667</v>
      </c>
      <c r="O17" s="2">
        <f>IF(tbl_campaigns[[#This Row],[Leads]]=0,0,tbl_campaigns[[#This Row],[Spend]]/tbl_campaigns[[#This Row],[Leads]])</f>
        <v>13.966603375527427</v>
      </c>
      <c r="P17" s="2">
        <f>IF(tbl_campaigns[[#This Row],[Spend]]=0,0,(tbl_campaigns[[#This Row],[Revenue]]-tbl_campaigns[[#This Row],[Spend]]) / tbl_campaigns[[#This Row],[Spend]])</f>
        <v>3.9163405169353651</v>
      </c>
      <c r="Q17"/>
      <c r="R17"/>
    </row>
    <row r="18" spans="1:18" x14ac:dyDescent="0.25">
      <c r="A18" t="s">
        <v>43</v>
      </c>
      <c r="B18" t="s">
        <v>23</v>
      </c>
      <c r="C18" t="s">
        <v>14</v>
      </c>
      <c r="D18" t="s">
        <v>15</v>
      </c>
      <c r="E18" s="9">
        <v>46107</v>
      </c>
      <c r="F18" s="11">
        <v>46129</v>
      </c>
      <c r="G18">
        <v>92063</v>
      </c>
      <c r="H18">
        <v>3705</v>
      </c>
      <c r="I18">
        <v>642</v>
      </c>
      <c r="J18">
        <v>290</v>
      </c>
      <c r="K18" s="5">
        <v>7043.25</v>
      </c>
      <c r="L18" s="5">
        <v>19776.91</v>
      </c>
      <c r="M18" s="2">
        <f>IF(tbl_campaigns[[#This Row],[Impressions]]=0,0,tbl_campaigns[[#This Row],[Clicks]]/tbl_campaigns[[#This Row],[Impressions]])</f>
        <v>4.024418061544812E-2</v>
      </c>
      <c r="N18" s="2">
        <f>IF(tbl_campaigns[[#This Row],[Clicks]]=0,0,tbl_campaigns[[#This Row],[Conversions]]/tbl_campaigns[[#This Row],[Clicks]])</f>
        <v>7.8272604588394065E-2</v>
      </c>
      <c r="O18" s="2">
        <f>IF(tbl_campaigns[[#This Row],[Leads]]=0,0,tbl_campaigns[[#This Row],[Spend]]/tbl_campaigns[[#This Row],[Leads]])</f>
        <v>10.970794392523365</v>
      </c>
      <c r="P18" s="2">
        <f>IF(tbl_campaigns[[#This Row],[Spend]]=0,0,(tbl_campaigns[[#This Row],[Revenue]]-tbl_campaigns[[#This Row],[Spend]]) / tbl_campaigns[[#This Row],[Spend]])</f>
        <v>1.8079238987683242</v>
      </c>
      <c r="Q18"/>
      <c r="R18"/>
    </row>
    <row r="19" spans="1:18" x14ac:dyDescent="0.25">
      <c r="A19" t="s">
        <v>44</v>
      </c>
      <c r="B19" t="s">
        <v>45</v>
      </c>
      <c r="C19" t="s">
        <v>21</v>
      </c>
      <c r="D19" t="s">
        <v>15</v>
      </c>
      <c r="E19" s="9">
        <v>46114</v>
      </c>
      <c r="F19" s="11">
        <v>46130</v>
      </c>
      <c r="G19">
        <v>72296</v>
      </c>
      <c r="H19">
        <v>6502</v>
      </c>
      <c r="I19">
        <v>1629</v>
      </c>
      <c r="J19">
        <v>468</v>
      </c>
      <c r="K19" s="5">
        <v>7247.11</v>
      </c>
      <c r="L19" s="5">
        <v>21130.02</v>
      </c>
      <c r="M19" s="2">
        <f>IF(tbl_campaigns[[#This Row],[Impressions]]=0,0,tbl_campaigns[[#This Row],[Clicks]]/tbl_campaigns[[#This Row],[Impressions]])</f>
        <v>8.9935819409095938E-2</v>
      </c>
      <c r="N19" s="2">
        <f>IF(tbl_campaigns[[#This Row],[Clicks]]=0,0,tbl_campaigns[[#This Row],[Conversions]]/tbl_campaigns[[#This Row],[Clicks]])</f>
        <v>7.1977852968317435E-2</v>
      </c>
      <c r="O19" s="2">
        <f>IF(tbl_campaigns[[#This Row],[Leads]]=0,0,tbl_campaigns[[#This Row],[Spend]]/tbl_campaigns[[#This Row],[Leads]])</f>
        <v>4.4488090853284223</v>
      </c>
      <c r="P19" s="2">
        <f>IF(tbl_campaigns[[#This Row],[Spend]]=0,0,(tbl_campaigns[[#This Row],[Revenue]]-tbl_campaigns[[#This Row],[Spend]]) / tbl_campaigns[[#This Row],[Spend]])</f>
        <v>1.9156477547601733</v>
      </c>
      <c r="Q19"/>
      <c r="R19"/>
    </row>
    <row r="20" spans="1:18" x14ac:dyDescent="0.25">
      <c r="A20" t="s">
        <v>46</v>
      </c>
      <c r="B20" t="s">
        <v>45</v>
      </c>
      <c r="C20" t="s">
        <v>14</v>
      </c>
      <c r="D20" t="s">
        <v>26</v>
      </c>
      <c r="E20" s="9">
        <v>46066</v>
      </c>
      <c r="F20" s="11">
        <v>46073</v>
      </c>
      <c r="G20">
        <v>97110</v>
      </c>
      <c r="H20">
        <v>10075</v>
      </c>
      <c r="I20">
        <v>1042</v>
      </c>
      <c r="J20">
        <v>321</v>
      </c>
      <c r="K20" s="5">
        <v>2151.63</v>
      </c>
      <c r="L20" s="5">
        <v>3162.41</v>
      </c>
      <c r="M20" s="2">
        <f>IF(tbl_campaigns[[#This Row],[Impressions]]=0,0,tbl_campaigns[[#This Row],[Clicks]]/tbl_campaigns[[#This Row],[Impressions]])</f>
        <v>0.1037483266398929</v>
      </c>
      <c r="N20" s="2">
        <f>IF(tbl_campaigns[[#This Row],[Clicks]]=0,0,tbl_campaigns[[#This Row],[Conversions]]/tbl_campaigns[[#This Row],[Clicks]])</f>
        <v>3.1861042183622831E-2</v>
      </c>
      <c r="O20" s="2">
        <f>IF(tbl_campaigns[[#This Row],[Leads]]=0,0,tbl_campaigns[[#This Row],[Spend]]/tbl_campaigns[[#This Row],[Leads]])</f>
        <v>2.0649040307101729</v>
      </c>
      <c r="P20" s="2">
        <f>IF(tbl_campaigns[[#This Row],[Spend]]=0,0,(tbl_campaigns[[#This Row],[Revenue]]-tbl_campaigns[[#This Row],[Spend]]) / tbl_campaigns[[#This Row],[Spend]])</f>
        <v>0.46977407825694922</v>
      </c>
      <c r="Q20"/>
      <c r="R20"/>
    </row>
    <row r="21" spans="1:18" x14ac:dyDescent="0.25">
      <c r="A21" t="s">
        <v>47</v>
      </c>
      <c r="B21" t="s">
        <v>17</v>
      </c>
      <c r="C21" t="s">
        <v>14</v>
      </c>
      <c r="D21" t="s">
        <v>26</v>
      </c>
      <c r="E21" s="9">
        <v>46138</v>
      </c>
      <c r="F21" s="11">
        <v>46146</v>
      </c>
      <c r="G21">
        <v>63309</v>
      </c>
      <c r="H21">
        <v>1580</v>
      </c>
      <c r="I21">
        <v>626</v>
      </c>
      <c r="J21">
        <v>141</v>
      </c>
      <c r="K21" s="5">
        <v>2588.58</v>
      </c>
      <c r="L21" s="5">
        <v>7881.13</v>
      </c>
      <c r="M21" s="2">
        <f>IF(tbl_campaigns[[#This Row],[Impressions]]=0,0,tbl_campaigns[[#This Row],[Clicks]]/tbl_campaigns[[#This Row],[Impressions]])</f>
        <v>2.4956957146693205E-2</v>
      </c>
      <c r="N21" s="2">
        <f>IF(tbl_campaigns[[#This Row],[Clicks]]=0,0,tbl_campaigns[[#This Row],[Conversions]]/tbl_campaigns[[#This Row],[Clicks]])</f>
        <v>8.9240506329113928E-2</v>
      </c>
      <c r="O21" s="2">
        <f>IF(tbl_campaigns[[#This Row],[Leads]]=0,0,tbl_campaigns[[#This Row],[Spend]]/tbl_campaigns[[#This Row],[Leads]])</f>
        <v>4.1351118210862623</v>
      </c>
      <c r="P21" s="2">
        <f>IF(tbl_campaigns[[#This Row],[Spend]]=0,0,(tbl_campaigns[[#This Row],[Revenue]]-tbl_campaigns[[#This Row],[Spend]]) / tbl_campaigns[[#This Row],[Spend]])</f>
        <v>2.0445765632122632</v>
      </c>
      <c r="Q21"/>
      <c r="R21"/>
    </row>
    <row r="22" spans="1:18" x14ac:dyDescent="0.25">
      <c r="A22" t="s">
        <v>48</v>
      </c>
      <c r="B22" t="s">
        <v>23</v>
      </c>
      <c r="C22" t="s">
        <v>14</v>
      </c>
      <c r="D22" t="s">
        <v>18</v>
      </c>
      <c r="E22" s="9">
        <v>46054</v>
      </c>
      <c r="F22" s="11">
        <v>46076</v>
      </c>
      <c r="G22">
        <v>73354</v>
      </c>
      <c r="H22">
        <v>2559</v>
      </c>
      <c r="I22">
        <v>196</v>
      </c>
      <c r="J22">
        <v>32</v>
      </c>
      <c r="K22" s="5">
        <v>5442.37</v>
      </c>
      <c r="L22" s="5">
        <v>13858.07</v>
      </c>
      <c r="M22" s="2">
        <f>IF(tbl_campaigns[[#This Row],[Impressions]]=0,0,tbl_campaigns[[#This Row],[Clicks]]/tbl_campaigns[[#This Row],[Impressions]])</f>
        <v>3.4885623142568913E-2</v>
      </c>
      <c r="N22" s="2">
        <f>IF(tbl_campaigns[[#This Row],[Clicks]]=0,0,tbl_campaigns[[#This Row],[Conversions]]/tbl_campaigns[[#This Row],[Clicks]])</f>
        <v>1.2504884720593983E-2</v>
      </c>
      <c r="O22" s="2">
        <f>IF(tbl_campaigns[[#This Row],[Leads]]=0,0,tbl_campaigns[[#This Row],[Spend]]/tbl_campaigns[[#This Row],[Leads]])</f>
        <v>27.767193877551019</v>
      </c>
      <c r="P22" s="2">
        <f>IF(tbl_campaigns[[#This Row],[Spend]]=0,0,(tbl_campaigns[[#This Row],[Revenue]]-tbl_campaigns[[#This Row],[Spend]]) / tbl_campaigns[[#This Row],[Spend]])</f>
        <v>1.5463299996141389</v>
      </c>
      <c r="Q22"/>
      <c r="R22"/>
    </row>
    <row r="23" spans="1:18" x14ac:dyDescent="0.25">
      <c r="A23" t="s">
        <v>49</v>
      </c>
      <c r="B23" t="s">
        <v>36</v>
      </c>
      <c r="C23" t="s">
        <v>37</v>
      </c>
      <c r="D23" t="s">
        <v>26</v>
      </c>
      <c r="E23" s="9">
        <v>46109</v>
      </c>
      <c r="F23" s="11">
        <v>46136</v>
      </c>
      <c r="G23">
        <v>104696</v>
      </c>
      <c r="H23">
        <v>2612</v>
      </c>
      <c r="I23">
        <v>162</v>
      </c>
      <c r="J23">
        <v>45</v>
      </c>
      <c r="K23" s="5">
        <v>5961.6</v>
      </c>
      <c r="L23" s="5">
        <v>25290.61</v>
      </c>
      <c r="M23" s="2">
        <f>IF(tbl_campaigns[[#This Row],[Impressions]]=0,0,tbl_campaigns[[#This Row],[Clicks]]/tbl_campaigns[[#This Row],[Impressions]])</f>
        <v>2.4948422098265453E-2</v>
      </c>
      <c r="N23" s="2">
        <f>IF(tbl_campaigns[[#This Row],[Clicks]]=0,0,tbl_campaigns[[#This Row],[Conversions]]/tbl_campaigns[[#This Row],[Clicks]])</f>
        <v>1.7228177641653904E-2</v>
      </c>
      <c r="O23" s="2">
        <f>IF(tbl_campaigns[[#This Row],[Leads]]=0,0,tbl_campaigns[[#This Row],[Spend]]/tbl_campaigns[[#This Row],[Leads]])</f>
        <v>36.800000000000004</v>
      </c>
      <c r="P23" s="2">
        <f>IF(tbl_campaigns[[#This Row],[Spend]]=0,0,(tbl_campaigns[[#This Row],[Revenue]]-tbl_campaigns[[#This Row],[Spend]]) / tbl_campaigns[[#This Row],[Spend]])</f>
        <v>3.2422520799785293</v>
      </c>
      <c r="Q23"/>
      <c r="R23"/>
    </row>
    <row r="24" spans="1:18" x14ac:dyDescent="0.25">
      <c r="A24" t="s">
        <v>50</v>
      </c>
      <c r="B24" t="s">
        <v>10</v>
      </c>
      <c r="C24" t="s">
        <v>14</v>
      </c>
      <c r="D24" t="s">
        <v>15</v>
      </c>
      <c r="E24" s="9">
        <v>46047</v>
      </c>
      <c r="F24" s="11">
        <v>46071</v>
      </c>
      <c r="G24">
        <v>78800</v>
      </c>
      <c r="H24">
        <v>3296</v>
      </c>
      <c r="I24">
        <v>964</v>
      </c>
      <c r="J24">
        <v>113</v>
      </c>
      <c r="K24" s="5">
        <v>2589.09</v>
      </c>
      <c r="L24" s="5">
        <v>5564.64</v>
      </c>
      <c r="M24" s="2">
        <f>IF(tbl_campaigns[[#This Row],[Impressions]]=0,0,tbl_campaigns[[#This Row],[Clicks]]/tbl_campaigns[[#This Row],[Impressions]])</f>
        <v>4.1827411167512693E-2</v>
      </c>
      <c r="N24" s="2">
        <f>IF(tbl_campaigns[[#This Row],[Clicks]]=0,0,tbl_campaigns[[#This Row],[Conversions]]/tbl_campaigns[[#This Row],[Clicks]])</f>
        <v>3.428398058252427E-2</v>
      </c>
      <c r="O24" s="2">
        <f>IF(tbl_campaigns[[#This Row],[Leads]]=0,0,tbl_campaigns[[#This Row],[Spend]]/tbl_campaigns[[#This Row],[Leads]])</f>
        <v>2.6857780082987555</v>
      </c>
      <c r="P24" s="2">
        <f>IF(tbl_campaigns[[#This Row],[Spend]]=0,0,(tbl_campaigns[[#This Row],[Revenue]]-tbl_campaigns[[#This Row],[Spend]]) / tbl_campaigns[[#This Row],[Spend]])</f>
        <v>1.1492647996014043</v>
      </c>
      <c r="Q24"/>
      <c r="R24"/>
    </row>
    <row r="25" spans="1:18" x14ac:dyDescent="0.25">
      <c r="A25" t="s">
        <v>51</v>
      </c>
      <c r="B25" t="s">
        <v>10</v>
      </c>
      <c r="C25" t="s">
        <v>37</v>
      </c>
      <c r="D25" t="s">
        <v>26</v>
      </c>
      <c r="E25" s="9">
        <v>46029</v>
      </c>
      <c r="F25" s="11">
        <v>46056</v>
      </c>
      <c r="G25">
        <v>90855</v>
      </c>
      <c r="H25">
        <v>1241</v>
      </c>
      <c r="I25">
        <v>147</v>
      </c>
      <c r="J25">
        <v>68</v>
      </c>
      <c r="K25" s="5">
        <v>6865.22</v>
      </c>
      <c r="L25" s="5">
        <v>12576.96</v>
      </c>
      <c r="M25" s="2">
        <f>IF(tbl_campaigns[[#This Row],[Impressions]]=0,0,tbl_campaigns[[#This Row],[Clicks]]/tbl_campaigns[[#This Row],[Impressions]])</f>
        <v>1.36591271806725E-2</v>
      </c>
      <c r="N25" s="2">
        <f>IF(tbl_campaigns[[#This Row],[Clicks]]=0,0,tbl_campaigns[[#This Row],[Conversions]]/tbl_campaigns[[#This Row],[Clicks]])</f>
        <v>5.4794520547945202E-2</v>
      </c>
      <c r="O25" s="2">
        <f>IF(tbl_campaigns[[#This Row],[Leads]]=0,0,tbl_campaigns[[#This Row],[Spend]]/tbl_campaigns[[#This Row],[Leads]])</f>
        <v>46.702176870748303</v>
      </c>
      <c r="P25" s="2">
        <f>IF(tbl_campaigns[[#This Row],[Spend]]=0,0,(tbl_campaigns[[#This Row],[Revenue]]-tbl_campaigns[[#This Row],[Spend]]) / tbl_campaigns[[#This Row],[Spend]])</f>
        <v>0.83198207777755095</v>
      </c>
      <c r="Q25"/>
      <c r="R25"/>
    </row>
    <row r="26" spans="1:18" x14ac:dyDescent="0.25">
      <c r="A26" t="s">
        <v>52</v>
      </c>
      <c r="B26" t="s">
        <v>53</v>
      </c>
      <c r="C26" t="s">
        <v>37</v>
      </c>
      <c r="D26" t="s">
        <v>15</v>
      </c>
      <c r="E26" s="9">
        <v>46133</v>
      </c>
      <c r="F26" s="11">
        <v>46152</v>
      </c>
      <c r="G26">
        <v>27685</v>
      </c>
      <c r="H26">
        <v>1674</v>
      </c>
      <c r="I26">
        <v>488</v>
      </c>
      <c r="J26">
        <v>20</v>
      </c>
      <c r="K26" s="5">
        <v>7889.82</v>
      </c>
      <c r="L26" s="5">
        <v>17418.919999999998</v>
      </c>
      <c r="M26" s="2">
        <f>IF(tbl_campaigns[[#This Row],[Impressions]]=0,0,tbl_campaigns[[#This Row],[Clicks]]/tbl_campaigns[[#This Row],[Impressions]])</f>
        <v>6.046595629402203E-2</v>
      </c>
      <c r="N26" s="2">
        <f>IF(tbl_campaigns[[#This Row],[Clicks]]=0,0,tbl_campaigns[[#This Row],[Conversions]]/tbl_campaigns[[#This Row],[Clicks]])</f>
        <v>1.1947431302270013E-2</v>
      </c>
      <c r="O26" s="2">
        <f>IF(tbl_campaigns[[#This Row],[Leads]]=0,0,tbl_campaigns[[#This Row],[Spend]]/tbl_campaigns[[#This Row],[Leads]])</f>
        <v>16.16766393442623</v>
      </c>
      <c r="P26" s="2">
        <f>IF(tbl_campaigns[[#This Row],[Spend]]=0,0,(tbl_campaigns[[#This Row],[Revenue]]-tbl_campaigns[[#This Row],[Spend]]) / tbl_campaigns[[#This Row],[Spend]])</f>
        <v>1.2077715334443624</v>
      </c>
      <c r="Q26"/>
      <c r="R26"/>
    </row>
    <row r="27" spans="1:18" x14ac:dyDescent="0.25">
      <c r="A27" t="s">
        <v>54</v>
      </c>
      <c r="B27" t="s">
        <v>53</v>
      </c>
      <c r="C27" t="s">
        <v>24</v>
      </c>
      <c r="D27" t="s">
        <v>18</v>
      </c>
      <c r="E27" s="9">
        <v>46112</v>
      </c>
      <c r="F27" s="11">
        <v>46142</v>
      </c>
      <c r="G27">
        <v>92845</v>
      </c>
      <c r="H27">
        <v>8973</v>
      </c>
      <c r="I27">
        <v>734</v>
      </c>
      <c r="J27">
        <v>117</v>
      </c>
      <c r="K27" s="5">
        <v>2725.31</v>
      </c>
      <c r="L27" s="5">
        <v>13302.5</v>
      </c>
      <c r="M27" s="2">
        <f>IF(tbl_campaigns[[#This Row],[Impressions]]=0,0,tbl_campaigns[[#This Row],[Clicks]]/tbl_campaigns[[#This Row],[Impressions]])</f>
        <v>9.664494587753783E-2</v>
      </c>
      <c r="N27" s="2">
        <f>IF(tbl_campaigns[[#This Row],[Clicks]]=0,0,tbl_campaigns[[#This Row],[Conversions]]/tbl_campaigns[[#This Row],[Clicks]])</f>
        <v>1.3039117352056168E-2</v>
      </c>
      <c r="O27" s="2">
        <f>IF(tbl_campaigns[[#This Row],[Leads]]=0,0,tbl_campaigns[[#This Row],[Spend]]/tbl_campaigns[[#This Row],[Leads]])</f>
        <v>3.7129564032697546</v>
      </c>
      <c r="P27" s="2">
        <f>IF(tbl_campaigns[[#This Row],[Spend]]=0,0,(tbl_campaigns[[#This Row],[Revenue]]-tbl_campaigns[[#This Row],[Spend]]) / tbl_campaigns[[#This Row],[Spend]])</f>
        <v>3.8810960954900544</v>
      </c>
      <c r="Q27"/>
      <c r="R27"/>
    </row>
    <row r="28" spans="1:18" x14ac:dyDescent="0.25">
      <c r="A28" t="s">
        <v>55</v>
      </c>
      <c r="B28" t="s">
        <v>30</v>
      </c>
      <c r="C28" t="s">
        <v>31</v>
      </c>
      <c r="D28" t="s">
        <v>26</v>
      </c>
      <c r="E28" s="9">
        <v>46118</v>
      </c>
      <c r="F28" s="11">
        <v>46135</v>
      </c>
      <c r="G28">
        <v>27492</v>
      </c>
      <c r="H28">
        <v>1205</v>
      </c>
      <c r="I28">
        <v>399</v>
      </c>
      <c r="J28">
        <v>142</v>
      </c>
      <c r="K28" s="5">
        <v>4271.38</v>
      </c>
      <c r="L28" s="5">
        <v>18966.36</v>
      </c>
      <c r="M28" s="2">
        <f>IF(tbl_campaigns[[#This Row],[Impressions]]=0,0,tbl_campaigns[[#This Row],[Clicks]]/tbl_campaigns[[#This Row],[Impressions]])</f>
        <v>4.3830932634948347E-2</v>
      </c>
      <c r="N28" s="2">
        <f>IF(tbl_campaigns[[#This Row],[Clicks]]=0,0,tbl_campaigns[[#This Row],[Conversions]]/tbl_campaigns[[#This Row],[Clicks]])</f>
        <v>0.11784232365145228</v>
      </c>
      <c r="O28" s="2">
        <f>IF(tbl_campaigns[[#This Row],[Leads]]=0,0,tbl_campaigns[[#This Row],[Spend]]/tbl_campaigns[[#This Row],[Leads]])</f>
        <v>10.705213032581455</v>
      </c>
      <c r="P28" s="2">
        <f>IF(tbl_campaigns[[#This Row],[Spend]]=0,0,(tbl_campaigns[[#This Row],[Revenue]]-tbl_campaigns[[#This Row],[Spend]]) / tbl_campaigns[[#This Row],[Spend]])</f>
        <v>3.44033544194148</v>
      </c>
      <c r="Q28"/>
      <c r="R28"/>
    </row>
    <row r="29" spans="1:18" x14ac:dyDescent="0.25">
      <c r="A29" t="s">
        <v>56</v>
      </c>
      <c r="B29" t="s">
        <v>34</v>
      </c>
      <c r="C29" t="s">
        <v>11</v>
      </c>
      <c r="D29" t="s">
        <v>26</v>
      </c>
      <c r="E29" s="9">
        <v>46131</v>
      </c>
      <c r="F29" s="11">
        <v>46143</v>
      </c>
      <c r="G29">
        <v>28981</v>
      </c>
      <c r="H29">
        <v>3437</v>
      </c>
      <c r="I29">
        <v>239</v>
      </c>
      <c r="J29">
        <v>106</v>
      </c>
      <c r="K29" s="5">
        <v>6963.64</v>
      </c>
      <c r="L29" s="5">
        <v>19041.009999999998</v>
      </c>
      <c r="M29" s="2">
        <f>IF(tbl_campaigns[[#This Row],[Impressions]]=0,0,tbl_campaigns[[#This Row],[Clicks]]/tbl_campaigns[[#This Row],[Impressions]])</f>
        <v>0.11859494151340534</v>
      </c>
      <c r="N29" s="2">
        <f>IF(tbl_campaigns[[#This Row],[Clicks]]=0,0,tbl_campaigns[[#This Row],[Conversions]]/tbl_campaigns[[#This Row],[Clicks]])</f>
        <v>3.0840849578120454E-2</v>
      </c>
      <c r="O29" s="2">
        <f>IF(tbl_campaigns[[#This Row],[Leads]]=0,0,tbl_campaigns[[#This Row],[Spend]]/tbl_campaigns[[#This Row],[Leads]])</f>
        <v>29.136569037656905</v>
      </c>
      <c r="P29" s="2">
        <f>IF(tbl_campaigns[[#This Row],[Spend]]=0,0,(tbl_campaigns[[#This Row],[Revenue]]-tbl_campaigns[[#This Row],[Spend]]) / tbl_campaigns[[#This Row],[Spend]])</f>
        <v>1.7343472666593907</v>
      </c>
      <c r="Q29"/>
      <c r="R29"/>
    </row>
    <row r="30" spans="1:18" x14ac:dyDescent="0.25">
      <c r="A30" t="s">
        <v>57</v>
      </c>
      <c r="B30" t="s">
        <v>30</v>
      </c>
      <c r="C30" t="s">
        <v>14</v>
      </c>
      <c r="D30" t="s">
        <v>26</v>
      </c>
      <c r="E30" s="9">
        <v>46102</v>
      </c>
      <c r="F30" s="11">
        <v>46111</v>
      </c>
      <c r="G30">
        <v>74948</v>
      </c>
      <c r="H30">
        <v>6385</v>
      </c>
      <c r="I30">
        <v>2490</v>
      </c>
      <c r="J30">
        <v>1177</v>
      </c>
      <c r="K30" s="5">
        <v>4420.87</v>
      </c>
      <c r="L30" s="5">
        <v>21007.46</v>
      </c>
      <c r="M30" s="2">
        <f>IF(tbl_campaigns[[#This Row],[Impressions]]=0,0,tbl_campaigns[[#This Row],[Clicks]]/tbl_campaigns[[#This Row],[Impressions]])</f>
        <v>8.519240006404441E-2</v>
      </c>
      <c r="N30" s="2">
        <f>IF(tbl_campaigns[[#This Row],[Clicks]]=0,0,tbl_campaigns[[#This Row],[Conversions]]/tbl_campaigns[[#This Row],[Clicks]])</f>
        <v>0.18433829287392325</v>
      </c>
      <c r="O30" s="2">
        <f>IF(tbl_campaigns[[#This Row],[Leads]]=0,0,tbl_campaigns[[#This Row],[Spend]]/tbl_campaigns[[#This Row],[Leads]])</f>
        <v>1.775449799196787</v>
      </c>
      <c r="P30" s="2">
        <f>IF(tbl_campaigns[[#This Row],[Spend]]=0,0,(tbl_campaigns[[#This Row],[Revenue]]-tbl_campaigns[[#This Row],[Spend]]) / tbl_campaigns[[#This Row],[Spend]])</f>
        <v>3.7518836790043588</v>
      </c>
      <c r="Q30"/>
      <c r="R30"/>
    </row>
    <row r="31" spans="1:18" x14ac:dyDescent="0.25">
      <c r="A31" t="s">
        <v>58</v>
      </c>
      <c r="B31" t="s">
        <v>45</v>
      </c>
      <c r="C31" t="s">
        <v>31</v>
      </c>
      <c r="D31" t="s">
        <v>12</v>
      </c>
      <c r="E31" s="9">
        <v>46053</v>
      </c>
      <c r="F31" s="11">
        <v>46068</v>
      </c>
      <c r="G31">
        <v>71876</v>
      </c>
      <c r="H31">
        <v>2072</v>
      </c>
      <c r="I31">
        <v>787</v>
      </c>
      <c r="J31">
        <v>350</v>
      </c>
      <c r="K31" s="5">
        <v>2749.98</v>
      </c>
      <c r="L31" s="5">
        <v>6604</v>
      </c>
      <c r="M31" s="2">
        <f>IF(tbl_campaigns[[#This Row],[Impressions]]=0,0,tbl_campaigns[[#This Row],[Clicks]]/tbl_campaigns[[#This Row],[Impressions]])</f>
        <v>2.8827425009738995E-2</v>
      </c>
      <c r="N31" s="2">
        <f>IF(tbl_campaigns[[#This Row],[Clicks]]=0,0,tbl_campaigns[[#This Row],[Conversions]]/tbl_campaigns[[#This Row],[Clicks]])</f>
        <v>0.16891891891891891</v>
      </c>
      <c r="O31" s="2">
        <f>IF(tbl_campaigns[[#This Row],[Leads]]=0,0,tbl_campaigns[[#This Row],[Spend]]/tbl_campaigns[[#This Row],[Leads]])</f>
        <v>3.4942566709021601</v>
      </c>
      <c r="P31" s="2">
        <f>IF(tbl_campaigns[[#This Row],[Spend]]=0,0,(tbl_campaigns[[#This Row],[Revenue]]-tbl_campaigns[[#This Row],[Spend]]) / tbl_campaigns[[#This Row],[Spend]])</f>
        <v>1.4014720107055323</v>
      </c>
      <c r="Q31"/>
      <c r="R31"/>
    </row>
    <row r="32" spans="1:18" x14ac:dyDescent="0.25">
      <c r="A32" t="s">
        <v>59</v>
      </c>
      <c r="B32" t="s">
        <v>10</v>
      </c>
      <c r="C32" t="s">
        <v>11</v>
      </c>
      <c r="D32" t="s">
        <v>18</v>
      </c>
      <c r="E32" s="9">
        <v>46102</v>
      </c>
      <c r="F32" s="11">
        <v>46127</v>
      </c>
      <c r="G32">
        <v>33104</v>
      </c>
      <c r="H32">
        <v>1300</v>
      </c>
      <c r="I32">
        <v>375</v>
      </c>
      <c r="J32">
        <v>74</v>
      </c>
      <c r="K32" s="5">
        <v>4294.1400000000003</v>
      </c>
      <c r="L32" s="5">
        <v>7314.36</v>
      </c>
      <c r="M32" s="2">
        <f>IF(tbl_campaigns[[#This Row],[Impressions]]=0,0,tbl_campaigns[[#This Row],[Clicks]]/tbl_campaigns[[#This Row],[Impressions]])</f>
        <v>3.9270178830352824E-2</v>
      </c>
      <c r="N32" s="2">
        <f>IF(tbl_campaigns[[#This Row],[Clicks]]=0,0,tbl_campaigns[[#This Row],[Conversions]]/tbl_campaigns[[#This Row],[Clicks]])</f>
        <v>5.6923076923076923E-2</v>
      </c>
      <c r="O32" s="2">
        <f>IF(tbl_campaigns[[#This Row],[Leads]]=0,0,tbl_campaigns[[#This Row],[Spend]]/tbl_campaigns[[#This Row],[Leads]])</f>
        <v>11.451040000000001</v>
      </c>
      <c r="P32" s="2">
        <f>IF(tbl_campaigns[[#This Row],[Spend]]=0,0,(tbl_campaigns[[#This Row],[Revenue]]-tbl_campaigns[[#This Row],[Spend]]) / tbl_campaigns[[#This Row],[Spend]])</f>
        <v>0.70333524291243399</v>
      </c>
      <c r="Q32"/>
      <c r="R32"/>
    </row>
    <row r="33" spans="1:18" x14ac:dyDescent="0.25">
      <c r="A33" t="s">
        <v>60</v>
      </c>
      <c r="B33" t="s">
        <v>20</v>
      </c>
      <c r="C33" t="s">
        <v>11</v>
      </c>
      <c r="D33" t="s">
        <v>15</v>
      </c>
      <c r="E33" s="9">
        <v>46070</v>
      </c>
      <c r="F33" s="11">
        <v>46086</v>
      </c>
      <c r="G33">
        <v>40676</v>
      </c>
      <c r="H33">
        <v>2794</v>
      </c>
      <c r="I33">
        <v>953</v>
      </c>
      <c r="J33">
        <v>298</v>
      </c>
      <c r="K33" s="5">
        <v>5776.55</v>
      </c>
      <c r="L33" s="5">
        <v>20358.73</v>
      </c>
      <c r="M33" s="2">
        <f>IF(tbl_campaigns[[#This Row],[Impressions]]=0,0,tbl_campaigns[[#This Row],[Clicks]]/tbl_campaigns[[#This Row],[Impressions]])</f>
        <v>6.86891533090766E-2</v>
      </c>
      <c r="N33" s="2">
        <f>IF(tbl_campaigns[[#This Row],[Clicks]]=0,0,tbl_campaigns[[#This Row],[Conversions]]/tbl_campaigns[[#This Row],[Clicks]])</f>
        <v>0.1066571224051539</v>
      </c>
      <c r="O33" s="2">
        <f>IF(tbl_campaigns[[#This Row],[Leads]]=0,0,tbl_campaigns[[#This Row],[Spend]]/tbl_campaigns[[#This Row],[Leads]])</f>
        <v>6.0614375655823718</v>
      </c>
      <c r="P33" s="2">
        <f>IF(tbl_campaigns[[#This Row],[Spend]]=0,0,(tbl_campaigns[[#This Row],[Revenue]]-tbl_campaigns[[#This Row],[Spend]]) / tbl_campaigns[[#This Row],[Spend]])</f>
        <v>2.5243752758999749</v>
      </c>
      <c r="Q33"/>
      <c r="R33"/>
    </row>
    <row r="34" spans="1:18" x14ac:dyDescent="0.25">
      <c r="A34" t="s">
        <v>61</v>
      </c>
      <c r="B34" t="s">
        <v>23</v>
      </c>
      <c r="C34" t="s">
        <v>11</v>
      </c>
      <c r="D34" t="s">
        <v>12</v>
      </c>
      <c r="E34" s="9">
        <v>46142</v>
      </c>
      <c r="F34" s="11">
        <v>46170</v>
      </c>
      <c r="G34">
        <v>33577</v>
      </c>
      <c r="H34">
        <v>1550</v>
      </c>
      <c r="I34">
        <v>370</v>
      </c>
      <c r="J34">
        <v>49</v>
      </c>
      <c r="K34" s="5">
        <v>7172.85</v>
      </c>
      <c r="L34" s="5">
        <v>28843.35</v>
      </c>
      <c r="M34" s="2">
        <f>IF(tbl_campaigns[[#This Row],[Impressions]]=0,0,tbl_campaigns[[#This Row],[Clicks]]/tbl_campaigns[[#This Row],[Impressions]])</f>
        <v>4.6162551746731395E-2</v>
      </c>
      <c r="N34" s="2">
        <f>IF(tbl_campaigns[[#This Row],[Clicks]]=0,0,tbl_campaigns[[#This Row],[Conversions]]/tbl_campaigns[[#This Row],[Clicks]])</f>
        <v>3.1612903225806455E-2</v>
      </c>
      <c r="O34" s="2">
        <f>IF(tbl_campaigns[[#This Row],[Leads]]=0,0,tbl_campaigns[[#This Row],[Spend]]/tbl_campaigns[[#This Row],[Leads]])</f>
        <v>19.38608108108108</v>
      </c>
      <c r="P34" s="2">
        <f>IF(tbl_campaigns[[#This Row],[Spend]]=0,0,(tbl_campaigns[[#This Row],[Revenue]]-tbl_campaigns[[#This Row],[Spend]]) / tbl_campaigns[[#This Row],[Spend]])</f>
        <v>3.0211840481816847</v>
      </c>
      <c r="Q34"/>
      <c r="R34"/>
    </row>
    <row r="35" spans="1:18" x14ac:dyDescent="0.25">
      <c r="A35" t="s">
        <v>62</v>
      </c>
      <c r="B35" t="s">
        <v>34</v>
      </c>
      <c r="C35" t="s">
        <v>24</v>
      </c>
      <c r="D35" t="s">
        <v>12</v>
      </c>
      <c r="E35" s="9">
        <v>46100</v>
      </c>
      <c r="F35" s="11">
        <v>46113</v>
      </c>
      <c r="G35">
        <v>114058</v>
      </c>
      <c r="H35">
        <v>6617</v>
      </c>
      <c r="I35">
        <v>933</v>
      </c>
      <c r="J35">
        <v>371</v>
      </c>
      <c r="K35" s="5">
        <v>5256.78</v>
      </c>
      <c r="L35" s="5">
        <v>11581.42</v>
      </c>
      <c r="M35" s="2">
        <f>IF(tbl_campaigns[[#This Row],[Impressions]]=0,0,tbl_campaigns[[#This Row],[Clicks]]/tbl_campaigns[[#This Row],[Impressions]])</f>
        <v>5.8014343579582316E-2</v>
      </c>
      <c r="N35" s="2">
        <f>IF(tbl_campaigns[[#This Row],[Clicks]]=0,0,tbl_campaigns[[#This Row],[Conversions]]/tbl_campaigns[[#This Row],[Clicks]])</f>
        <v>5.6067704397763339E-2</v>
      </c>
      <c r="O35" s="2">
        <f>IF(tbl_campaigns[[#This Row],[Leads]]=0,0,tbl_campaigns[[#This Row],[Spend]]/tbl_campaigns[[#This Row],[Leads]])</f>
        <v>5.6342765273311892</v>
      </c>
      <c r="P35" s="2">
        <f>IF(tbl_campaigns[[#This Row],[Spend]]=0,0,(tbl_campaigns[[#This Row],[Revenue]]-tbl_campaigns[[#This Row],[Spend]]) / tbl_campaigns[[#This Row],[Spend]])</f>
        <v>1.2031395645242906</v>
      </c>
      <c r="Q35"/>
      <c r="R35"/>
    </row>
    <row r="36" spans="1:18" x14ac:dyDescent="0.25">
      <c r="A36" t="s">
        <v>63</v>
      </c>
      <c r="B36" t="s">
        <v>53</v>
      </c>
      <c r="C36" t="s">
        <v>24</v>
      </c>
      <c r="D36" t="s">
        <v>26</v>
      </c>
      <c r="E36" s="9">
        <v>46034</v>
      </c>
      <c r="F36" s="11">
        <v>46061</v>
      </c>
      <c r="G36">
        <v>75518</v>
      </c>
      <c r="H36">
        <v>7794</v>
      </c>
      <c r="I36">
        <v>1233</v>
      </c>
      <c r="J36">
        <v>65</v>
      </c>
      <c r="K36" s="5">
        <v>526.59</v>
      </c>
      <c r="L36" s="5">
        <v>2174.9499999999998</v>
      </c>
      <c r="M36" s="2">
        <f>IF(tbl_campaigns[[#This Row],[Impressions]]=0,0,tbl_campaigns[[#This Row],[Clicks]]/tbl_campaigns[[#This Row],[Impressions]])</f>
        <v>0.10320718239360152</v>
      </c>
      <c r="N36" s="2">
        <f>IF(tbl_campaigns[[#This Row],[Clicks]]=0,0,tbl_campaigns[[#This Row],[Conversions]]/tbl_campaigns[[#This Row],[Clicks]])</f>
        <v>8.3397485245060299E-3</v>
      </c>
      <c r="O36" s="2">
        <f>IF(tbl_campaigns[[#This Row],[Leads]]=0,0,tbl_campaigns[[#This Row],[Spend]]/tbl_campaigns[[#This Row],[Leads]])</f>
        <v>0.42708029197080294</v>
      </c>
      <c r="P36" s="2">
        <f>IF(tbl_campaigns[[#This Row],[Spend]]=0,0,(tbl_campaigns[[#This Row],[Revenue]]-tbl_campaigns[[#This Row],[Spend]]) / tbl_campaigns[[#This Row],[Spend]])</f>
        <v>3.1302531381150414</v>
      </c>
      <c r="Q36"/>
      <c r="R36"/>
    </row>
    <row r="37" spans="1:18" x14ac:dyDescent="0.25">
      <c r="A37" t="s">
        <v>64</v>
      </c>
      <c r="B37" t="s">
        <v>39</v>
      </c>
      <c r="C37" t="s">
        <v>14</v>
      </c>
      <c r="D37" t="s">
        <v>18</v>
      </c>
      <c r="E37" s="9">
        <v>46093</v>
      </c>
      <c r="F37" s="11">
        <v>46122</v>
      </c>
      <c r="G37">
        <v>76057</v>
      </c>
      <c r="H37">
        <v>5594</v>
      </c>
      <c r="I37">
        <v>139</v>
      </c>
      <c r="J37">
        <v>27</v>
      </c>
      <c r="K37" s="5">
        <v>1064.33</v>
      </c>
      <c r="L37" s="5">
        <v>4848.88</v>
      </c>
      <c r="M37" s="2">
        <f>IF(tbl_campaigns[[#This Row],[Impressions]]=0,0,tbl_campaigns[[#This Row],[Clicks]]/tbl_campaigns[[#This Row],[Impressions]])</f>
        <v>7.3550100582457895E-2</v>
      </c>
      <c r="N37" s="2">
        <f>IF(tbl_campaigns[[#This Row],[Clicks]]=0,0,tbl_campaigns[[#This Row],[Conversions]]/tbl_campaigns[[#This Row],[Clicks]])</f>
        <v>4.8265999284948157E-3</v>
      </c>
      <c r="O37" s="2">
        <f>IF(tbl_campaigns[[#This Row],[Leads]]=0,0,tbl_campaigns[[#This Row],[Spend]]/tbl_campaigns[[#This Row],[Leads]])</f>
        <v>7.6570503597122297</v>
      </c>
      <c r="P37" s="2">
        <f>IF(tbl_campaigns[[#This Row],[Spend]]=0,0,(tbl_campaigns[[#This Row],[Revenue]]-tbl_campaigns[[#This Row],[Spend]]) / tbl_campaigns[[#This Row],[Spend]])</f>
        <v>3.555805060460572</v>
      </c>
      <c r="Q37"/>
      <c r="R37"/>
    </row>
    <row r="38" spans="1:18" x14ac:dyDescent="0.25">
      <c r="A38" t="s">
        <v>65</v>
      </c>
      <c r="B38" t="s">
        <v>34</v>
      </c>
      <c r="C38" t="s">
        <v>21</v>
      </c>
      <c r="D38" t="s">
        <v>26</v>
      </c>
      <c r="E38" s="9">
        <v>46129</v>
      </c>
      <c r="F38" s="11">
        <v>46147</v>
      </c>
      <c r="G38">
        <v>96350</v>
      </c>
      <c r="H38">
        <v>10052</v>
      </c>
      <c r="I38">
        <v>706</v>
      </c>
      <c r="J38">
        <v>240</v>
      </c>
      <c r="K38" s="5">
        <v>1455.84</v>
      </c>
      <c r="L38" s="5">
        <v>3452.35</v>
      </c>
      <c r="M38" s="2">
        <f>IF(tbl_campaigns[[#This Row],[Impressions]]=0,0,tbl_campaigns[[#This Row],[Clicks]]/tbl_campaigns[[#This Row],[Impressions]])</f>
        <v>0.10432797093928387</v>
      </c>
      <c r="N38" s="2">
        <f>IF(tbl_campaigns[[#This Row],[Clicks]]=0,0,tbl_campaigns[[#This Row],[Conversions]]/tbl_campaigns[[#This Row],[Clicks]])</f>
        <v>2.3875845602865101E-2</v>
      </c>
      <c r="O38" s="2">
        <f>IF(tbl_campaigns[[#This Row],[Leads]]=0,0,tbl_campaigns[[#This Row],[Spend]]/tbl_campaigns[[#This Row],[Leads]])</f>
        <v>2.062096317280453</v>
      </c>
      <c r="P38" s="2">
        <f>IF(tbl_campaigns[[#This Row],[Spend]]=0,0,(tbl_campaigns[[#This Row],[Revenue]]-tbl_campaigns[[#This Row],[Spend]]) / tbl_campaigns[[#This Row],[Spend]])</f>
        <v>1.3713800967139247</v>
      </c>
      <c r="Q38"/>
      <c r="R38"/>
    </row>
    <row r="39" spans="1:18" x14ac:dyDescent="0.25">
      <c r="A39" t="s">
        <v>66</v>
      </c>
      <c r="B39" t="s">
        <v>17</v>
      </c>
      <c r="C39" t="s">
        <v>24</v>
      </c>
      <c r="D39" t="s">
        <v>15</v>
      </c>
      <c r="E39" s="9">
        <v>46110</v>
      </c>
      <c r="F39" s="11">
        <v>46124</v>
      </c>
      <c r="G39">
        <v>107416</v>
      </c>
      <c r="H39">
        <v>2684</v>
      </c>
      <c r="I39">
        <v>462</v>
      </c>
      <c r="J39">
        <v>219</v>
      </c>
      <c r="K39" s="5">
        <v>4699.13</v>
      </c>
      <c r="L39" s="5">
        <v>21258.43</v>
      </c>
      <c r="M39" s="2">
        <f>IF(tbl_campaigns[[#This Row],[Impressions]]=0,0,tbl_campaigns[[#This Row],[Clicks]]/tbl_campaigns[[#This Row],[Impressions]])</f>
        <v>2.4986966559916585E-2</v>
      </c>
      <c r="N39" s="2">
        <f>IF(tbl_campaigns[[#This Row],[Clicks]]=0,0,tbl_campaigns[[#This Row],[Conversions]]/tbl_campaigns[[#This Row],[Clicks]])</f>
        <v>8.1594634873323399E-2</v>
      </c>
      <c r="O39" s="2">
        <f>IF(tbl_campaigns[[#This Row],[Leads]]=0,0,tbl_campaigns[[#This Row],[Spend]]/tbl_campaigns[[#This Row],[Leads]])</f>
        <v>10.171277056277056</v>
      </c>
      <c r="P39" s="2">
        <f>IF(tbl_campaigns[[#This Row],[Spend]]=0,0,(tbl_campaigns[[#This Row],[Revenue]]-tbl_campaigns[[#This Row],[Spend]]) / tbl_campaigns[[#This Row],[Spend]])</f>
        <v>3.5239076169418593</v>
      </c>
      <c r="Q39"/>
      <c r="R39"/>
    </row>
    <row r="40" spans="1:18" x14ac:dyDescent="0.25">
      <c r="A40" t="s">
        <v>67</v>
      </c>
      <c r="B40" t="s">
        <v>30</v>
      </c>
      <c r="C40" t="s">
        <v>31</v>
      </c>
      <c r="D40" t="s">
        <v>15</v>
      </c>
      <c r="E40" s="9">
        <v>46141</v>
      </c>
      <c r="F40" s="11">
        <v>46155</v>
      </c>
      <c r="G40">
        <v>41299</v>
      </c>
      <c r="H40">
        <v>4276</v>
      </c>
      <c r="I40">
        <v>462</v>
      </c>
      <c r="J40">
        <v>125</v>
      </c>
      <c r="K40" s="5">
        <v>685.9</v>
      </c>
      <c r="L40" s="5">
        <v>2742.88</v>
      </c>
      <c r="M40" s="2">
        <f>IF(tbl_campaigns[[#This Row],[Impressions]]=0,0,tbl_campaigns[[#This Row],[Clicks]]/tbl_campaigns[[#This Row],[Impressions]])</f>
        <v>0.1035376159229037</v>
      </c>
      <c r="N40" s="2">
        <f>IF(tbl_campaigns[[#This Row],[Clicks]]=0,0,tbl_campaigns[[#This Row],[Conversions]]/tbl_campaigns[[#This Row],[Clicks]])</f>
        <v>2.9232927970065482E-2</v>
      </c>
      <c r="O40" s="2">
        <f>IF(tbl_campaigns[[#This Row],[Leads]]=0,0,tbl_campaigns[[#This Row],[Spend]]/tbl_campaigns[[#This Row],[Leads]])</f>
        <v>1.4846320346320345</v>
      </c>
      <c r="P40" s="2">
        <f>IF(tbl_campaigns[[#This Row],[Spend]]=0,0,(tbl_campaigns[[#This Row],[Revenue]]-tbl_campaigns[[#This Row],[Spend]]) / tbl_campaigns[[#This Row],[Spend]])</f>
        <v>2.9989502842980027</v>
      </c>
      <c r="Q40"/>
      <c r="R40"/>
    </row>
    <row r="41" spans="1:18" x14ac:dyDescent="0.25">
      <c r="A41" t="s">
        <v>68</v>
      </c>
      <c r="B41" t="s">
        <v>20</v>
      </c>
      <c r="C41" t="s">
        <v>37</v>
      </c>
      <c r="D41" t="s">
        <v>15</v>
      </c>
      <c r="E41" s="9">
        <v>46057</v>
      </c>
      <c r="F41" s="11">
        <v>46069</v>
      </c>
      <c r="G41">
        <v>111917</v>
      </c>
      <c r="H41">
        <v>2771</v>
      </c>
      <c r="I41">
        <v>491</v>
      </c>
      <c r="J41">
        <v>243</v>
      </c>
      <c r="K41" s="5">
        <v>790.43</v>
      </c>
      <c r="L41" s="5">
        <v>2362.3000000000002</v>
      </c>
      <c r="M41" s="2">
        <f>IF(tbl_campaigns[[#This Row],[Impressions]]=0,0,tbl_campaigns[[#This Row],[Clicks]]/tbl_campaigns[[#This Row],[Impressions]])</f>
        <v>2.4759419927267528E-2</v>
      </c>
      <c r="N41" s="2">
        <f>IF(tbl_campaigns[[#This Row],[Clicks]]=0,0,tbl_campaigns[[#This Row],[Conversions]]/tbl_campaigns[[#This Row],[Clicks]])</f>
        <v>8.7693973294839411E-2</v>
      </c>
      <c r="O41" s="2">
        <f>IF(tbl_campaigns[[#This Row],[Leads]]=0,0,tbl_campaigns[[#This Row],[Spend]]/tbl_campaigns[[#This Row],[Leads]])</f>
        <v>1.6098370672097759</v>
      </c>
      <c r="P41" s="2">
        <f>IF(tbl_campaigns[[#This Row],[Spend]]=0,0,(tbl_campaigns[[#This Row],[Revenue]]-tbl_campaigns[[#This Row],[Spend]]) / tbl_campaigns[[#This Row],[Spend]])</f>
        <v>1.9886264438343693</v>
      </c>
      <c r="Q41"/>
      <c r="R41"/>
    </row>
    <row r="42" spans="1:18" x14ac:dyDescent="0.25">
      <c r="A42" t="s">
        <v>69</v>
      </c>
      <c r="B42" t="s">
        <v>45</v>
      </c>
      <c r="C42" t="s">
        <v>37</v>
      </c>
      <c r="D42" t="s">
        <v>12</v>
      </c>
      <c r="E42" s="9">
        <v>46062</v>
      </c>
      <c r="F42" s="11">
        <v>46076</v>
      </c>
      <c r="G42">
        <v>49219</v>
      </c>
      <c r="H42">
        <v>1193</v>
      </c>
      <c r="I42">
        <v>437</v>
      </c>
      <c r="J42">
        <v>69</v>
      </c>
      <c r="K42" s="5">
        <v>3488.49</v>
      </c>
      <c r="L42" s="5">
        <v>7879.42</v>
      </c>
      <c r="M42" s="2">
        <f>IF(tbl_campaigns[[#This Row],[Impressions]]=0,0,tbl_campaigns[[#This Row],[Clicks]]/tbl_campaigns[[#This Row],[Impressions]])</f>
        <v>2.4238607041995978E-2</v>
      </c>
      <c r="N42" s="2">
        <f>IF(tbl_campaigns[[#This Row],[Clicks]]=0,0,tbl_campaigns[[#This Row],[Conversions]]/tbl_campaigns[[#This Row],[Clicks]])</f>
        <v>5.7837384744341996E-2</v>
      </c>
      <c r="O42" s="2">
        <f>IF(tbl_campaigns[[#This Row],[Leads]]=0,0,tbl_campaigns[[#This Row],[Spend]]/tbl_campaigns[[#This Row],[Leads]])</f>
        <v>7.9828146453089239</v>
      </c>
      <c r="P42" s="2">
        <f>IF(tbl_campaigns[[#This Row],[Spend]]=0,0,(tbl_campaigns[[#This Row],[Revenue]]-tbl_campaigns[[#This Row],[Spend]]) / tbl_campaigns[[#This Row],[Spend]])</f>
        <v>1.2586907229202322</v>
      </c>
      <c r="Q42"/>
      <c r="R42"/>
    </row>
    <row r="43" spans="1:18" x14ac:dyDescent="0.25">
      <c r="A43" t="s">
        <v>70</v>
      </c>
      <c r="B43" t="s">
        <v>10</v>
      </c>
      <c r="C43" t="s">
        <v>24</v>
      </c>
      <c r="D43" t="s">
        <v>12</v>
      </c>
      <c r="E43" s="9">
        <v>46105</v>
      </c>
      <c r="F43" s="11">
        <v>46128</v>
      </c>
      <c r="G43">
        <v>72386</v>
      </c>
      <c r="H43">
        <v>6566</v>
      </c>
      <c r="I43">
        <v>2296</v>
      </c>
      <c r="J43">
        <v>698</v>
      </c>
      <c r="K43" s="5">
        <v>7544.28</v>
      </c>
      <c r="L43" s="5">
        <v>12359.78</v>
      </c>
      <c r="M43" s="2">
        <f>IF(tbl_campaigns[[#This Row],[Impressions]]=0,0,tbl_campaigns[[#This Row],[Clicks]]/tbl_campaigns[[#This Row],[Impressions]])</f>
        <v>9.070814798441687E-2</v>
      </c>
      <c r="N43" s="2">
        <f>IF(tbl_campaigns[[#This Row],[Clicks]]=0,0,tbl_campaigns[[#This Row],[Conversions]]/tbl_campaigns[[#This Row],[Clicks]])</f>
        <v>0.10630520865062443</v>
      </c>
      <c r="O43" s="2">
        <f>IF(tbl_campaigns[[#This Row],[Leads]]=0,0,tbl_campaigns[[#This Row],[Spend]]/tbl_campaigns[[#This Row],[Leads]])</f>
        <v>3.2858362369337977</v>
      </c>
      <c r="P43" s="2">
        <f>IF(tbl_campaigns[[#This Row],[Spend]]=0,0,(tbl_campaigns[[#This Row],[Revenue]]-tbl_campaigns[[#This Row],[Spend]]) / tbl_campaigns[[#This Row],[Spend]])</f>
        <v>0.63829815436330584</v>
      </c>
      <c r="Q43"/>
      <c r="R43"/>
    </row>
    <row r="44" spans="1:18" x14ac:dyDescent="0.25">
      <c r="A44" t="s">
        <v>71</v>
      </c>
      <c r="B44" t="s">
        <v>39</v>
      </c>
      <c r="C44" t="s">
        <v>14</v>
      </c>
      <c r="D44" t="s">
        <v>12</v>
      </c>
      <c r="E44" s="9">
        <v>46027</v>
      </c>
      <c r="F44" s="11">
        <v>46037</v>
      </c>
      <c r="G44">
        <v>98193</v>
      </c>
      <c r="H44">
        <v>8119</v>
      </c>
      <c r="I44">
        <v>1515</v>
      </c>
      <c r="J44">
        <v>341</v>
      </c>
      <c r="K44" s="5">
        <v>3772.95</v>
      </c>
      <c r="L44" s="5">
        <v>18638.740000000002</v>
      </c>
      <c r="M44" s="2">
        <f>IF(tbl_campaigns[[#This Row],[Impressions]]=0,0,tbl_campaigns[[#This Row],[Clicks]]/tbl_campaigns[[#This Row],[Impressions]])</f>
        <v>8.2684101718045078E-2</v>
      </c>
      <c r="N44" s="2">
        <f>IF(tbl_campaigns[[#This Row],[Clicks]]=0,0,tbl_campaigns[[#This Row],[Conversions]]/tbl_campaigns[[#This Row],[Clicks]])</f>
        <v>4.2000246335755637E-2</v>
      </c>
      <c r="O44" s="2">
        <f>IF(tbl_campaigns[[#This Row],[Leads]]=0,0,tbl_campaigns[[#This Row],[Spend]]/tbl_campaigns[[#This Row],[Leads]])</f>
        <v>2.4903960396039602</v>
      </c>
      <c r="P44" s="2">
        <f>IF(tbl_campaigns[[#This Row],[Spend]]=0,0,(tbl_campaigns[[#This Row],[Revenue]]-tbl_campaigns[[#This Row],[Spend]]) / tbl_campaigns[[#This Row],[Spend]])</f>
        <v>3.9400972713659077</v>
      </c>
      <c r="Q44"/>
      <c r="R44"/>
    </row>
    <row r="45" spans="1:18" x14ac:dyDescent="0.25">
      <c r="A45" t="s">
        <v>72</v>
      </c>
      <c r="B45" t="s">
        <v>10</v>
      </c>
      <c r="C45" t="s">
        <v>37</v>
      </c>
      <c r="D45" t="s">
        <v>15</v>
      </c>
      <c r="E45" s="9">
        <v>46055</v>
      </c>
      <c r="F45" s="11">
        <v>46063</v>
      </c>
      <c r="G45">
        <v>112901</v>
      </c>
      <c r="H45">
        <v>8144</v>
      </c>
      <c r="I45">
        <v>106</v>
      </c>
      <c r="J45">
        <v>53</v>
      </c>
      <c r="K45" s="5">
        <v>7441.81</v>
      </c>
      <c r="L45" s="5">
        <v>24156.99</v>
      </c>
      <c r="M45" s="2">
        <f>IF(tbl_campaigns[[#This Row],[Impressions]]=0,0,tbl_campaigns[[#This Row],[Clicks]]/tbl_campaigns[[#This Row],[Impressions]])</f>
        <v>7.2133993498728968E-2</v>
      </c>
      <c r="N45" s="2">
        <f>IF(tbl_campaigns[[#This Row],[Clicks]]=0,0,tbl_campaigns[[#This Row],[Conversions]]/tbl_campaigns[[#This Row],[Clicks]])</f>
        <v>6.5078585461689591E-3</v>
      </c>
      <c r="O45" s="2">
        <f>IF(tbl_campaigns[[#This Row],[Leads]]=0,0,tbl_campaigns[[#This Row],[Spend]]/tbl_campaigns[[#This Row],[Leads]])</f>
        <v>70.205754716981133</v>
      </c>
      <c r="P45" s="2">
        <f>IF(tbl_campaigns[[#This Row],[Spend]]=0,0,(tbl_campaigns[[#This Row],[Revenue]]-tbl_campaigns[[#This Row],[Spend]]) / tbl_campaigns[[#This Row],[Spend]])</f>
        <v>2.2461175439845951</v>
      </c>
      <c r="Q45"/>
      <c r="R45"/>
    </row>
    <row r="46" spans="1:18" x14ac:dyDescent="0.25">
      <c r="A46" t="s">
        <v>73</v>
      </c>
      <c r="B46" t="s">
        <v>45</v>
      </c>
      <c r="C46" t="s">
        <v>24</v>
      </c>
      <c r="D46" t="s">
        <v>18</v>
      </c>
      <c r="E46" s="9">
        <v>46031</v>
      </c>
      <c r="F46" s="11">
        <v>46059</v>
      </c>
      <c r="G46">
        <v>63279</v>
      </c>
      <c r="H46">
        <v>6104</v>
      </c>
      <c r="I46">
        <v>1385</v>
      </c>
      <c r="J46">
        <v>147</v>
      </c>
      <c r="K46" s="5">
        <v>5898.16</v>
      </c>
      <c r="L46" s="5">
        <v>13808.92</v>
      </c>
      <c r="M46" s="2">
        <f>IF(tbl_campaigns[[#This Row],[Impressions]]=0,0,tbl_campaigns[[#This Row],[Clicks]]/tbl_campaigns[[#This Row],[Impressions]])</f>
        <v>9.6461701354319765E-2</v>
      </c>
      <c r="N46" s="2">
        <f>IF(tbl_campaigns[[#This Row],[Clicks]]=0,0,tbl_campaigns[[#This Row],[Conversions]]/tbl_campaigns[[#This Row],[Clicks]])</f>
        <v>2.4082568807339451E-2</v>
      </c>
      <c r="O46" s="2">
        <f>IF(tbl_campaigns[[#This Row],[Leads]]=0,0,tbl_campaigns[[#This Row],[Spend]]/tbl_campaigns[[#This Row],[Leads]])</f>
        <v>4.2585992779783393</v>
      </c>
      <c r="P46" s="2">
        <f>IF(tbl_campaigns[[#This Row],[Spend]]=0,0,(tbl_campaigns[[#This Row],[Revenue]]-tbl_campaigns[[#This Row],[Spend]]) / tbl_campaigns[[#This Row],[Spend]])</f>
        <v>1.3412250600187177</v>
      </c>
      <c r="Q46"/>
      <c r="R46"/>
    </row>
    <row r="47" spans="1:18" x14ac:dyDescent="0.25">
      <c r="A47" t="s">
        <v>74</v>
      </c>
      <c r="B47" t="s">
        <v>39</v>
      </c>
      <c r="C47" t="s">
        <v>31</v>
      </c>
      <c r="D47" t="s">
        <v>18</v>
      </c>
      <c r="E47" s="9">
        <v>46064</v>
      </c>
      <c r="F47" s="11">
        <v>46083</v>
      </c>
      <c r="G47">
        <v>111384</v>
      </c>
      <c r="H47">
        <v>5844</v>
      </c>
      <c r="I47">
        <v>621</v>
      </c>
      <c r="J47">
        <v>118</v>
      </c>
      <c r="K47" s="5">
        <v>3653.35</v>
      </c>
      <c r="L47" s="5">
        <v>17438.830000000002</v>
      </c>
      <c r="M47" s="2">
        <f>IF(tbl_campaigns[[#This Row],[Impressions]]=0,0,tbl_campaigns[[#This Row],[Clicks]]/tbl_campaigns[[#This Row],[Impressions]])</f>
        <v>5.2467140702434821E-2</v>
      </c>
      <c r="N47" s="2">
        <f>IF(tbl_campaigns[[#This Row],[Clicks]]=0,0,tbl_campaigns[[#This Row],[Conversions]]/tbl_campaigns[[#This Row],[Clicks]])</f>
        <v>2.0191649555099247E-2</v>
      </c>
      <c r="O47" s="2">
        <f>IF(tbl_campaigns[[#This Row],[Leads]]=0,0,tbl_campaigns[[#This Row],[Spend]]/tbl_campaigns[[#This Row],[Leads]])</f>
        <v>5.8830112721417072</v>
      </c>
      <c r="P47" s="2">
        <f>IF(tbl_campaigns[[#This Row],[Spend]]=0,0,(tbl_campaigns[[#This Row],[Revenue]]-tbl_campaigns[[#This Row],[Spend]]) / tbl_campaigns[[#This Row],[Spend]])</f>
        <v>3.7733805958914424</v>
      </c>
      <c r="Q47"/>
      <c r="R47"/>
    </row>
    <row r="48" spans="1:18" x14ac:dyDescent="0.25">
      <c r="A48" t="s">
        <v>75</v>
      </c>
      <c r="B48" t="s">
        <v>34</v>
      </c>
      <c r="C48" t="s">
        <v>21</v>
      </c>
      <c r="D48" t="s">
        <v>12</v>
      </c>
      <c r="E48" s="9">
        <v>46074</v>
      </c>
      <c r="F48" s="11">
        <v>46098</v>
      </c>
      <c r="G48">
        <v>20053</v>
      </c>
      <c r="H48">
        <v>1622</v>
      </c>
      <c r="I48">
        <v>393</v>
      </c>
      <c r="J48">
        <v>73</v>
      </c>
      <c r="K48" s="5">
        <v>3724.16</v>
      </c>
      <c r="L48" s="5">
        <v>12676.83</v>
      </c>
      <c r="M48" s="2">
        <f>IF(tbl_campaigns[[#This Row],[Impressions]]=0,0,tbl_campaigns[[#This Row],[Clicks]]/tbl_campaigns[[#This Row],[Impressions]])</f>
        <v>8.0885653019498335E-2</v>
      </c>
      <c r="N48" s="2">
        <f>IF(tbl_campaigns[[#This Row],[Clicks]]=0,0,tbl_campaigns[[#This Row],[Conversions]]/tbl_campaigns[[#This Row],[Clicks]])</f>
        <v>4.5006165228113439E-2</v>
      </c>
      <c r="O48" s="2">
        <f>IF(tbl_campaigns[[#This Row],[Leads]]=0,0,tbl_campaigns[[#This Row],[Spend]]/tbl_campaigns[[#This Row],[Leads]])</f>
        <v>9.4762340966921119</v>
      </c>
      <c r="P48" s="2">
        <f>IF(tbl_campaigns[[#This Row],[Spend]]=0,0,(tbl_campaigns[[#This Row],[Revenue]]-tbl_campaigns[[#This Row],[Spend]]) / tbl_campaigns[[#This Row],[Spend]])</f>
        <v>2.4039434395944324</v>
      </c>
      <c r="Q48"/>
      <c r="R48"/>
    </row>
    <row r="49" spans="1:18" x14ac:dyDescent="0.25">
      <c r="A49" t="s">
        <v>76</v>
      </c>
      <c r="B49" t="s">
        <v>20</v>
      </c>
      <c r="C49" t="s">
        <v>37</v>
      </c>
      <c r="D49" t="s">
        <v>18</v>
      </c>
      <c r="E49" s="9">
        <v>46079</v>
      </c>
      <c r="F49" s="11">
        <v>46107</v>
      </c>
      <c r="G49">
        <v>48010</v>
      </c>
      <c r="H49">
        <v>5187</v>
      </c>
      <c r="I49">
        <v>1069</v>
      </c>
      <c r="J49">
        <v>193</v>
      </c>
      <c r="K49" s="5">
        <v>5441.38</v>
      </c>
      <c r="L49" s="5">
        <v>12397.58</v>
      </c>
      <c r="M49" s="2">
        <f>IF(tbl_campaigns[[#This Row],[Impressions]]=0,0,tbl_campaigns[[#This Row],[Clicks]]/tbl_campaigns[[#This Row],[Impressions]])</f>
        <v>0.10803999166840242</v>
      </c>
      <c r="N49" s="2">
        <f>IF(tbl_campaigns[[#This Row],[Clicks]]=0,0,tbl_campaigns[[#This Row],[Conversions]]/tbl_campaigns[[#This Row],[Clicks]])</f>
        <v>3.7208405629458263E-2</v>
      </c>
      <c r="O49" s="2">
        <f>IF(tbl_campaigns[[#This Row],[Leads]]=0,0,tbl_campaigns[[#This Row],[Spend]]/tbl_campaigns[[#This Row],[Leads]])</f>
        <v>5.0901590271281574</v>
      </c>
      <c r="P49" s="2">
        <f>IF(tbl_campaigns[[#This Row],[Spend]]=0,0,(tbl_campaigns[[#This Row],[Revenue]]-tbl_campaigns[[#This Row],[Spend]]) / tbl_campaigns[[#This Row],[Spend]])</f>
        <v>1.2783889381002613</v>
      </c>
      <c r="Q49"/>
      <c r="R49"/>
    </row>
    <row r="50" spans="1:18" x14ac:dyDescent="0.25">
      <c r="A50" t="s">
        <v>77</v>
      </c>
      <c r="B50" t="s">
        <v>30</v>
      </c>
      <c r="C50" t="s">
        <v>24</v>
      </c>
      <c r="D50" t="s">
        <v>26</v>
      </c>
      <c r="E50" s="9">
        <v>46127</v>
      </c>
      <c r="F50" s="11">
        <v>46141</v>
      </c>
      <c r="G50">
        <v>108184</v>
      </c>
      <c r="H50">
        <v>6085</v>
      </c>
      <c r="I50">
        <v>1020</v>
      </c>
      <c r="J50">
        <v>432</v>
      </c>
      <c r="K50" s="5">
        <v>1993.47</v>
      </c>
      <c r="L50" s="5">
        <v>2577.19</v>
      </c>
      <c r="M50" s="2">
        <f>IF(tbl_campaigns[[#This Row],[Impressions]]=0,0,tbl_campaigns[[#This Row],[Clicks]]/tbl_campaigns[[#This Row],[Impressions]])</f>
        <v>5.6246764771130664E-2</v>
      </c>
      <c r="N50" s="2">
        <f>IF(tbl_campaigns[[#This Row],[Clicks]]=0,0,tbl_campaigns[[#This Row],[Conversions]]/tbl_campaigns[[#This Row],[Clicks]])</f>
        <v>7.0994248151191458E-2</v>
      </c>
      <c r="O50" s="2">
        <f>IF(tbl_campaigns[[#This Row],[Leads]]=0,0,tbl_campaigns[[#This Row],[Spend]]/tbl_campaigns[[#This Row],[Leads]])</f>
        <v>1.9543823529411766</v>
      </c>
      <c r="P50" s="2">
        <f>IF(tbl_campaigns[[#This Row],[Spend]]=0,0,(tbl_campaigns[[#This Row],[Revenue]]-tbl_campaigns[[#This Row],[Spend]]) / tbl_campaigns[[#This Row],[Spend]])</f>
        <v>0.29281604438491676</v>
      </c>
      <c r="Q50"/>
      <c r="R50"/>
    </row>
    <row r="51" spans="1:18" x14ac:dyDescent="0.25">
      <c r="A51" t="s">
        <v>78</v>
      </c>
      <c r="B51" t="s">
        <v>45</v>
      </c>
      <c r="C51" t="s">
        <v>37</v>
      </c>
      <c r="D51" t="s">
        <v>26</v>
      </c>
      <c r="E51" s="9">
        <v>46081</v>
      </c>
      <c r="F51" s="11">
        <v>46101</v>
      </c>
      <c r="G51">
        <v>102544</v>
      </c>
      <c r="H51">
        <v>10431</v>
      </c>
      <c r="I51">
        <v>896</v>
      </c>
      <c r="J51">
        <v>387</v>
      </c>
      <c r="K51" s="5">
        <v>5722.66</v>
      </c>
      <c r="L51" s="5">
        <v>17617.97</v>
      </c>
      <c r="M51" s="2">
        <f>IF(tbl_campaigns[[#This Row],[Impressions]]=0,0,tbl_campaigns[[#This Row],[Clicks]]/tbl_campaigns[[#This Row],[Impressions]])</f>
        <v>0.10172218754875956</v>
      </c>
      <c r="N51" s="2">
        <f>IF(tbl_campaigns[[#This Row],[Clicks]]=0,0,tbl_campaigns[[#This Row],[Conversions]]/tbl_campaigns[[#This Row],[Clicks]])</f>
        <v>3.7100949094046591E-2</v>
      </c>
      <c r="O51" s="2">
        <f>IF(tbl_campaigns[[#This Row],[Leads]]=0,0,tbl_campaigns[[#This Row],[Spend]]/tbl_campaigns[[#This Row],[Leads]])</f>
        <v>6.3868973214285711</v>
      </c>
      <c r="P51" s="2">
        <f>IF(tbl_campaigns[[#This Row],[Spend]]=0,0,(tbl_campaigns[[#This Row],[Revenue]]-tbl_campaigns[[#This Row],[Spend]]) / tbl_campaigns[[#This Row],[Spend]])</f>
        <v>2.0786330133189814</v>
      </c>
      <c r="Q51"/>
      <c r="R51"/>
    </row>
    <row r="52" spans="1:18" x14ac:dyDescent="0.25">
      <c r="A52" t="s">
        <v>79</v>
      </c>
      <c r="B52" t="s">
        <v>45</v>
      </c>
      <c r="C52" t="s">
        <v>14</v>
      </c>
      <c r="D52" t="s">
        <v>26</v>
      </c>
      <c r="E52" s="9">
        <v>46137</v>
      </c>
      <c r="F52" s="11">
        <v>46147</v>
      </c>
      <c r="G52">
        <v>75724</v>
      </c>
      <c r="H52">
        <v>2792</v>
      </c>
      <c r="I52">
        <v>280</v>
      </c>
      <c r="J52">
        <v>122</v>
      </c>
      <c r="K52" s="5">
        <v>7684.75</v>
      </c>
      <c r="L52" s="5">
        <v>24347.13</v>
      </c>
      <c r="M52" s="2">
        <f>IF(tbl_campaigns[[#This Row],[Impressions]]=0,0,tbl_campaigns[[#This Row],[Clicks]]/tbl_campaigns[[#This Row],[Impressions]])</f>
        <v>3.6870741112461046E-2</v>
      </c>
      <c r="N52" s="2">
        <f>IF(tbl_campaigns[[#This Row],[Clicks]]=0,0,tbl_campaigns[[#This Row],[Conversions]]/tbl_campaigns[[#This Row],[Clicks]])</f>
        <v>4.3696275071633241E-2</v>
      </c>
      <c r="O52" s="2">
        <f>IF(tbl_campaigns[[#This Row],[Leads]]=0,0,tbl_campaigns[[#This Row],[Spend]]/tbl_campaigns[[#This Row],[Leads]])</f>
        <v>27.445535714285715</v>
      </c>
      <c r="P52" s="2">
        <f>IF(tbl_campaigns[[#This Row],[Spend]]=0,0,(tbl_campaigns[[#This Row],[Revenue]]-tbl_campaigns[[#This Row],[Spend]]) / tbl_campaigns[[#This Row],[Spend]])</f>
        <v>2.1682396955008296</v>
      </c>
      <c r="Q52"/>
      <c r="R52"/>
    </row>
    <row r="53" spans="1:18" x14ac:dyDescent="0.25">
      <c r="A53" t="s">
        <v>80</v>
      </c>
      <c r="B53" t="s">
        <v>17</v>
      </c>
      <c r="C53" t="s">
        <v>21</v>
      </c>
      <c r="D53" t="s">
        <v>15</v>
      </c>
      <c r="E53" s="9">
        <v>46140</v>
      </c>
      <c r="F53" s="11">
        <v>46150</v>
      </c>
      <c r="G53">
        <v>79829</v>
      </c>
      <c r="H53">
        <v>3184</v>
      </c>
      <c r="I53">
        <v>1051</v>
      </c>
      <c r="J53">
        <v>361</v>
      </c>
      <c r="K53" s="5">
        <v>4483.49</v>
      </c>
      <c r="L53" s="5">
        <v>14902.74</v>
      </c>
      <c r="M53" s="2">
        <f>IF(tbl_campaigns[[#This Row],[Impressions]]=0,0,tbl_campaigns[[#This Row],[Clicks]]/tbl_campaigns[[#This Row],[Impressions]])</f>
        <v>3.9885254731989631E-2</v>
      </c>
      <c r="N53" s="2">
        <f>IF(tbl_campaigns[[#This Row],[Clicks]]=0,0,tbl_campaigns[[#This Row],[Conversions]]/tbl_campaigns[[#This Row],[Clicks]])</f>
        <v>0.11337939698492462</v>
      </c>
      <c r="O53" s="2">
        <f>IF(tbl_campaigns[[#This Row],[Leads]]=0,0,tbl_campaigns[[#This Row],[Spend]]/tbl_campaigns[[#This Row],[Leads]])</f>
        <v>4.2659276879162702</v>
      </c>
      <c r="P53" s="2">
        <f>IF(tbl_campaigns[[#This Row],[Spend]]=0,0,(tbl_campaigns[[#This Row],[Revenue]]-tbl_campaigns[[#This Row],[Spend]]) / tbl_campaigns[[#This Row],[Spend]])</f>
        <v>2.3239150750865956</v>
      </c>
      <c r="Q53"/>
      <c r="R53"/>
    </row>
    <row r="54" spans="1:18" x14ac:dyDescent="0.25">
      <c r="A54" t="s">
        <v>81</v>
      </c>
      <c r="B54" t="s">
        <v>20</v>
      </c>
      <c r="C54" t="s">
        <v>37</v>
      </c>
      <c r="D54" t="s">
        <v>18</v>
      </c>
      <c r="E54" s="9">
        <v>46129</v>
      </c>
      <c r="F54" s="11">
        <v>46153</v>
      </c>
      <c r="G54">
        <v>78446</v>
      </c>
      <c r="H54">
        <v>3607</v>
      </c>
      <c r="I54">
        <v>1072</v>
      </c>
      <c r="J54">
        <v>480</v>
      </c>
      <c r="K54" s="5">
        <v>2443.94</v>
      </c>
      <c r="L54" s="5">
        <v>5228.84</v>
      </c>
      <c r="M54" s="2">
        <f>IF(tbl_campaigns[[#This Row],[Impressions]]=0,0,tbl_campaigns[[#This Row],[Clicks]]/tbl_campaigns[[#This Row],[Impressions]])</f>
        <v>4.5980674604186318E-2</v>
      </c>
      <c r="N54" s="2">
        <f>IF(tbl_campaigns[[#This Row],[Clicks]]=0,0,tbl_campaigns[[#This Row],[Conversions]]/tbl_campaigns[[#This Row],[Clicks]])</f>
        <v>0.13307457721097865</v>
      </c>
      <c r="O54" s="2">
        <f>IF(tbl_campaigns[[#This Row],[Leads]]=0,0,tbl_campaigns[[#This Row],[Spend]]/tbl_campaigns[[#This Row],[Leads]])</f>
        <v>2.2797947761194028</v>
      </c>
      <c r="P54" s="2">
        <f>IF(tbl_campaigns[[#This Row],[Spend]]=0,0,(tbl_campaigns[[#This Row],[Revenue]]-tbl_campaigns[[#This Row],[Spend]]) / tbl_campaigns[[#This Row],[Spend]])</f>
        <v>1.1395124266553189</v>
      </c>
      <c r="Q54"/>
      <c r="R54"/>
    </row>
    <row r="55" spans="1:18" x14ac:dyDescent="0.25">
      <c r="A55" t="s">
        <v>82</v>
      </c>
      <c r="B55" t="s">
        <v>39</v>
      </c>
      <c r="C55" t="s">
        <v>21</v>
      </c>
      <c r="D55" t="s">
        <v>18</v>
      </c>
      <c r="E55" s="9">
        <v>46103</v>
      </c>
      <c r="F55" s="11">
        <v>46117</v>
      </c>
      <c r="G55">
        <v>55992</v>
      </c>
      <c r="H55">
        <v>4603</v>
      </c>
      <c r="I55">
        <v>258</v>
      </c>
      <c r="J55">
        <v>111</v>
      </c>
      <c r="K55" s="5">
        <v>2642.96</v>
      </c>
      <c r="L55" s="5">
        <v>5900.45</v>
      </c>
      <c r="M55" s="2">
        <f>IF(tbl_campaigns[[#This Row],[Impressions]]=0,0,tbl_campaigns[[#This Row],[Clicks]]/tbl_campaigns[[#This Row],[Impressions]])</f>
        <v>8.2208172596085149E-2</v>
      </c>
      <c r="N55" s="2">
        <f>IF(tbl_campaigns[[#This Row],[Clicks]]=0,0,tbl_campaigns[[#This Row],[Conversions]]/tbl_campaigns[[#This Row],[Clicks]])</f>
        <v>2.4114707799261351E-2</v>
      </c>
      <c r="O55" s="2">
        <f>IF(tbl_campaigns[[#This Row],[Leads]]=0,0,tbl_campaigns[[#This Row],[Spend]]/tbl_campaigns[[#This Row],[Leads]])</f>
        <v>10.244031007751937</v>
      </c>
      <c r="P55" s="2">
        <f>IF(tbl_campaigns[[#This Row],[Spend]]=0,0,(tbl_campaigns[[#This Row],[Revenue]]-tbl_campaigns[[#This Row],[Spend]]) / tbl_campaigns[[#This Row],[Spend]])</f>
        <v>1.2325158156006901</v>
      </c>
      <c r="Q55"/>
      <c r="R55"/>
    </row>
    <row r="56" spans="1:18" x14ac:dyDescent="0.25">
      <c r="A56" t="s">
        <v>83</v>
      </c>
      <c r="B56" t="s">
        <v>20</v>
      </c>
      <c r="C56" t="s">
        <v>21</v>
      </c>
      <c r="D56" t="s">
        <v>26</v>
      </c>
      <c r="E56" s="9">
        <v>46040</v>
      </c>
      <c r="F56" s="11">
        <v>46051</v>
      </c>
      <c r="G56">
        <v>50311</v>
      </c>
      <c r="H56">
        <v>4137</v>
      </c>
      <c r="I56">
        <v>1521</v>
      </c>
      <c r="J56">
        <v>176</v>
      </c>
      <c r="K56" s="5">
        <v>5798.14</v>
      </c>
      <c r="L56" s="5">
        <v>8372.92</v>
      </c>
      <c r="M56" s="2">
        <f>IF(tbl_campaigns[[#This Row],[Impressions]]=0,0,tbl_campaigns[[#This Row],[Clicks]]/tbl_campaigns[[#This Row],[Impressions]])</f>
        <v>8.2228538490588546E-2</v>
      </c>
      <c r="N56" s="2">
        <f>IF(tbl_campaigns[[#This Row],[Clicks]]=0,0,tbl_campaigns[[#This Row],[Conversions]]/tbl_campaigns[[#This Row],[Clicks]])</f>
        <v>4.2542905487067927E-2</v>
      </c>
      <c r="O56" s="2">
        <f>IF(tbl_campaigns[[#This Row],[Leads]]=0,0,tbl_campaigns[[#This Row],[Spend]]/tbl_campaigns[[#This Row],[Leads]])</f>
        <v>3.8120578566732415</v>
      </c>
      <c r="P56" s="2">
        <f>IF(tbl_campaigns[[#This Row],[Spend]]=0,0,(tbl_campaigns[[#This Row],[Revenue]]-tbl_campaigns[[#This Row],[Spend]]) / tbl_campaigns[[#This Row],[Spend]])</f>
        <v>0.4440699948604207</v>
      </c>
      <c r="Q56"/>
      <c r="R56"/>
    </row>
    <row r="57" spans="1:18" x14ac:dyDescent="0.25">
      <c r="A57" t="s">
        <v>84</v>
      </c>
      <c r="B57" t="s">
        <v>36</v>
      </c>
      <c r="C57" t="s">
        <v>24</v>
      </c>
      <c r="D57" t="s">
        <v>18</v>
      </c>
      <c r="E57" s="9">
        <v>46076</v>
      </c>
      <c r="F57" s="11">
        <v>46084</v>
      </c>
      <c r="G57">
        <v>47110</v>
      </c>
      <c r="H57">
        <v>4441</v>
      </c>
      <c r="I57">
        <v>897</v>
      </c>
      <c r="J57">
        <v>414</v>
      </c>
      <c r="K57" s="5">
        <v>4880.6000000000004</v>
      </c>
      <c r="L57" s="5">
        <v>18756.080000000002</v>
      </c>
      <c r="M57" s="2">
        <f>IF(tbl_campaigns[[#This Row],[Impressions]]=0,0,tbl_campaigns[[#This Row],[Clicks]]/tbl_campaigns[[#This Row],[Impressions]])</f>
        <v>9.4268732753130968E-2</v>
      </c>
      <c r="N57" s="2">
        <f>IF(tbl_campaigns[[#This Row],[Clicks]]=0,0,tbl_campaigns[[#This Row],[Conversions]]/tbl_campaigns[[#This Row],[Clicks]])</f>
        <v>9.3222247241612252E-2</v>
      </c>
      <c r="O57" s="2">
        <f>IF(tbl_campaigns[[#This Row],[Leads]]=0,0,tbl_campaigns[[#This Row],[Spend]]/tbl_campaigns[[#This Row],[Leads]])</f>
        <v>5.4410256410256412</v>
      </c>
      <c r="P57" s="2">
        <f>IF(tbl_campaigns[[#This Row],[Spend]]=0,0,(tbl_campaigns[[#This Row],[Revenue]]-tbl_campaigns[[#This Row],[Spend]]) / tbl_campaigns[[#This Row],[Spend]])</f>
        <v>2.8429865180510592</v>
      </c>
      <c r="Q57"/>
      <c r="R57"/>
    </row>
    <row r="58" spans="1:18" x14ac:dyDescent="0.25">
      <c r="A58" t="s">
        <v>85</v>
      </c>
      <c r="B58" t="s">
        <v>30</v>
      </c>
      <c r="C58" t="s">
        <v>37</v>
      </c>
      <c r="D58" t="s">
        <v>18</v>
      </c>
      <c r="E58" s="9">
        <v>46023</v>
      </c>
      <c r="F58" s="11">
        <v>46041</v>
      </c>
      <c r="G58">
        <v>59139</v>
      </c>
      <c r="H58">
        <v>4194</v>
      </c>
      <c r="I58">
        <v>958</v>
      </c>
      <c r="J58">
        <v>295</v>
      </c>
      <c r="K58" s="5">
        <v>6106.37</v>
      </c>
      <c r="L58" s="5">
        <v>20000.21</v>
      </c>
      <c r="M58" s="2">
        <f>IF(tbl_campaigns[[#This Row],[Impressions]]=0,0,tbl_campaigns[[#This Row],[Clicks]]/tbl_campaigns[[#This Row],[Impressions]])</f>
        <v>7.0917668543600668E-2</v>
      </c>
      <c r="N58" s="2">
        <f>IF(tbl_campaigns[[#This Row],[Clicks]]=0,0,tbl_campaigns[[#This Row],[Conversions]]/tbl_campaigns[[#This Row],[Clicks]])</f>
        <v>7.0338578922269912E-2</v>
      </c>
      <c r="O58" s="2">
        <f>IF(tbl_campaigns[[#This Row],[Leads]]=0,0,tbl_campaigns[[#This Row],[Spend]]/tbl_campaigns[[#This Row],[Leads]])</f>
        <v>6.3740814196242166</v>
      </c>
      <c r="P58" s="2">
        <f>IF(tbl_campaigns[[#This Row],[Spend]]=0,0,(tbl_campaigns[[#This Row],[Revenue]]-tbl_campaigns[[#This Row],[Spend]]) / tbl_campaigns[[#This Row],[Spend]])</f>
        <v>2.2753026757304258</v>
      </c>
      <c r="Q58"/>
      <c r="R58"/>
    </row>
    <row r="59" spans="1:18" x14ac:dyDescent="0.25">
      <c r="A59" t="s">
        <v>86</v>
      </c>
      <c r="B59" t="s">
        <v>30</v>
      </c>
      <c r="C59" t="s">
        <v>14</v>
      </c>
      <c r="D59" t="s">
        <v>18</v>
      </c>
      <c r="E59" s="9">
        <v>46051</v>
      </c>
      <c r="F59" s="11">
        <v>46066</v>
      </c>
      <c r="G59">
        <v>77125</v>
      </c>
      <c r="H59">
        <v>8956</v>
      </c>
      <c r="I59">
        <v>218</v>
      </c>
      <c r="J59">
        <v>69</v>
      </c>
      <c r="K59" s="5">
        <v>3020.97</v>
      </c>
      <c r="L59" s="5">
        <v>11421.5</v>
      </c>
      <c r="M59" s="2">
        <f>IF(tbl_campaigns[[#This Row],[Impressions]]=0,0,tbl_campaigns[[#This Row],[Clicks]]/tbl_campaigns[[#This Row],[Impressions]])</f>
        <v>0.11612317666126418</v>
      </c>
      <c r="N59" s="2">
        <f>IF(tbl_campaigns[[#This Row],[Clicks]]=0,0,tbl_campaigns[[#This Row],[Conversions]]/tbl_campaigns[[#This Row],[Clicks]])</f>
        <v>7.7043322912014288E-3</v>
      </c>
      <c r="O59" s="2">
        <f>IF(tbl_campaigns[[#This Row],[Leads]]=0,0,tbl_campaigns[[#This Row],[Spend]]/tbl_campaigns[[#This Row],[Leads]])</f>
        <v>13.857660550458714</v>
      </c>
      <c r="P59" s="2">
        <f>IF(tbl_campaigns[[#This Row],[Spend]]=0,0,(tbl_campaigns[[#This Row],[Revenue]]-tbl_campaigns[[#This Row],[Spend]]) / tbl_campaigns[[#This Row],[Spend]])</f>
        <v>2.7807392989668887</v>
      </c>
      <c r="Q59"/>
      <c r="R59"/>
    </row>
    <row r="60" spans="1:18" x14ac:dyDescent="0.25">
      <c r="A60" t="s">
        <v>87</v>
      </c>
      <c r="B60" t="s">
        <v>36</v>
      </c>
      <c r="C60" t="s">
        <v>31</v>
      </c>
      <c r="D60" t="s">
        <v>15</v>
      </c>
      <c r="E60" s="9">
        <v>46130</v>
      </c>
      <c r="F60" s="11">
        <v>46151</v>
      </c>
      <c r="G60">
        <v>36728</v>
      </c>
      <c r="H60">
        <v>3548</v>
      </c>
      <c r="I60">
        <v>1193</v>
      </c>
      <c r="J60">
        <v>47</v>
      </c>
      <c r="K60" s="5">
        <v>7301.97</v>
      </c>
      <c r="L60" s="5">
        <v>25185.9</v>
      </c>
      <c r="M60" s="2">
        <f>IF(tbl_campaigns[[#This Row],[Impressions]]=0,0,tbl_campaigns[[#This Row],[Clicks]]/tbl_campaigns[[#This Row],[Impressions]])</f>
        <v>9.6602047484208239E-2</v>
      </c>
      <c r="N60" s="2">
        <f>IF(tbl_campaigns[[#This Row],[Clicks]]=0,0,tbl_campaigns[[#This Row],[Conversions]]/tbl_campaigns[[#This Row],[Clicks]])</f>
        <v>1.3246899661781286E-2</v>
      </c>
      <c r="O60" s="2">
        <f>IF(tbl_campaigns[[#This Row],[Leads]]=0,0,tbl_campaigns[[#This Row],[Spend]]/tbl_campaigns[[#This Row],[Leads]])</f>
        <v>6.120678960603521</v>
      </c>
      <c r="P60" s="2">
        <f>IF(tbl_campaigns[[#This Row],[Spend]]=0,0,(tbl_campaigns[[#This Row],[Revenue]]-tbl_campaigns[[#This Row],[Spend]]) / tbl_campaigns[[#This Row],[Spend]])</f>
        <v>2.4491924781942407</v>
      </c>
      <c r="Q60"/>
      <c r="R60"/>
    </row>
    <row r="61" spans="1:18" x14ac:dyDescent="0.25">
      <c r="A61" t="s">
        <v>88</v>
      </c>
      <c r="B61" t="s">
        <v>17</v>
      </c>
      <c r="C61" t="s">
        <v>11</v>
      </c>
      <c r="D61" t="s">
        <v>18</v>
      </c>
      <c r="E61" s="9">
        <v>46040</v>
      </c>
      <c r="F61" s="11">
        <v>46061</v>
      </c>
      <c r="G61">
        <v>43819</v>
      </c>
      <c r="H61">
        <v>1411</v>
      </c>
      <c r="I61">
        <v>233</v>
      </c>
      <c r="J61">
        <v>68</v>
      </c>
      <c r="K61" s="5">
        <v>2955.15</v>
      </c>
      <c r="L61" s="5">
        <v>8652.26</v>
      </c>
      <c r="M61" s="2">
        <f>IF(tbl_campaigns[[#This Row],[Impressions]]=0,0,tbl_campaigns[[#This Row],[Clicks]]/tbl_campaigns[[#This Row],[Impressions]])</f>
        <v>3.2200643556448118E-2</v>
      </c>
      <c r="N61" s="2">
        <f>IF(tbl_campaigns[[#This Row],[Clicks]]=0,0,tbl_campaigns[[#This Row],[Conversions]]/tbl_campaigns[[#This Row],[Clicks]])</f>
        <v>4.8192771084337352E-2</v>
      </c>
      <c r="O61" s="2">
        <f>IF(tbl_campaigns[[#This Row],[Leads]]=0,0,tbl_campaigns[[#This Row],[Spend]]/tbl_campaigns[[#This Row],[Leads]])</f>
        <v>12.68304721030043</v>
      </c>
      <c r="P61" s="2">
        <f>IF(tbl_campaigns[[#This Row],[Spend]]=0,0,(tbl_campaigns[[#This Row],[Revenue]]-tbl_campaigns[[#This Row],[Spend]]) / tbl_campaigns[[#This Row],[Spend]])</f>
        <v>1.9278581459485984</v>
      </c>
      <c r="Q61"/>
      <c r="R61"/>
    </row>
    <row r="62" spans="1:18" x14ac:dyDescent="0.25">
      <c r="A62" t="s">
        <v>89</v>
      </c>
      <c r="B62" t="s">
        <v>20</v>
      </c>
      <c r="C62" t="s">
        <v>37</v>
      </c>
      <c r="D62" t="s">
        <v>12</v>
      </c>
      <c r="E62" s="9">
        <v>46119</v>
      </c>
      <c r="F62" s="11">
        <v>46139</v>
      </c>
      <c r="G62">
        <v>53065</v>
      </c>
      <c r="H62">
        <v>1670</v>
      </c>
      <c r="I62">
        <v>581</v>
      </c>
      <c r="J62">
        <v>29</v>
      </c>
      <c r="K62" s="5">
        <v>6117.68</v>
      </c>
      <c r="L62" s="5">
        <v>8552.06</v>
      </c>
      <c r="M62" s="2">
        <f>IF(tbl_campaigns[[#This Row],[Impressions]]=0,0,tbl_campaigns[[#This Row],[Clicks]]/tbl_campaigns[[#This Row],[Impressions]])</f>
        <v>3.1470837651936305E-2</v>
      </c>
      <c r="N62" s="2">
        <f>IF(tbl_campaigns[[#This Row],[Clicks]]=0,0,tbl_campaigns[[#This Row],[Conversions]]/tbl_campaigns[[#This Row],[Clicks]])</f>
        <v>1.7365269461077845E-2</v>
      </c>
      <c r="O62" s="2">
        <f>IF(tbl_campaigns[[#This Row],[Leads]]=0,0,tbl_campaigns[[#This Row],[Spend]]/tbl_campaigns[[#This Row],[Leads]])</f>
        <v>10.529569707401032</v>
      </c>
      <c r="P62" s="2">
        <f>IF(tbl_campaigns[[#This Row],[Spend]]=0,0,(tbl_campaigns[[#This Row],[Revenue]]-tbl_campaigns[[#This Row],[Spend]]) / tbl_campaigns[[#This Row],[Spend]])</f>
        <v>0.3979253573249989</v>
      </c>
      <c r="Q62"/>
      <c r="R62"/>
    </row>
    <row r="63" spans="1:18" x14ac:dyDescent="0.25">
      <c r="A63" t="s">
        <v>90</v>
      </c>
      <c r="B63" t="s">
        <v>20</v>
      </c>
      <c r="C63" t="s">
        <v>14</v>
      </c>
      <c r="D63" t="s">
        <v>26</v>
      </c>
      <c r="E63" s="9">
        <v>46122</v>
      </c>
      <c r="F63" s="11">
        <v>46149</v>
      </c>
      <c r="G63">
        <v>25276</v>
      </c>
      <c r="H63">
        <v>2544</v>
      </c>
      <c r="I63">
        <v>131</v>
      </c>
      <c r="J63">
        <v>35</v>
      </c>
      <c r="K63" s="5">
        <v>1995.21</v>
      </c>
      <c r="L63" s="5">
        <v>2548.77</v>
      </c>
      <c r="M63" s="2">
        <f>IF(tbl_campaigns[[#This Row],[Impressions]]=0,0,tbl_campaigns[[#This Row],[Clicks]]/tbl_campaigns[[#This Row],[Impressions]])</f>
        <v>0.10064883684127235</v>
      </c>
      <c r="N63" s="2">
        <f>IF(tbl_campaigns[[#This Row],[Clicks]]=0,0,tbl_campaigns[[#This Row],[Conversions]]/tbl_campaigns[[#This Row],[Clicks]])</f>
        <v>1.3757861635220126E-2</v>
      </c>
      <c r="O63" s="2">
        <f>IF(tbl_campaigns[[#This Row],[Leads]]=0,0,tbl_campaigns[[#This Row],[Spend]]/tbl_campaigns[[#This Row],[Leads]])</f>
        <v>15.230610687022901</v>
      </c>
      <c r="P63" s="2">
        <f>IF(tbl_campaigns[[#This Row],[Spend]]=0,0,(tbl_campaigns[[#This Row],[Revenue]]-tbl_campaigns[[#This Row],[Spend]]) / tbl_campaigns[[#This Row],[Spend]])</f>
        <v>0.27744447952847068</v>
      </c>
      <c r="Q63"/>
      <c r="R63"/>
    </row>
    <row r="64" spans="1:18" x14ac:dyDescent="0.25">
      <c r="A64" t="s">
        <v>91</v>
      </c>
      <c r="B64" t="s">
        <v>34</v>
      </c>
      <c r="C64" t="s">
        <v>14</v>
      </c>
      <c r="D64" t="s">
        <v>15</v>
      </c>
      <c r="E64" s="9">
        <v>46083</v>
      </c>
      <c r="F64" s="11">
        <v>46111</v>
      </c>
      <c r="G64">
        <v>34993</v>
      </c>
      <c r="H64">
        <v>3310</v>
      </c>
      <c r="I64">
        <v>546</v>
      </c>
      <c r="J64">
        <v>139</v>
      </c>
      <c r="K64" s="5">
        <v>5745.99</v>
      </c>
      <c r="L64" s="5">
        <v>23640.23</v>
      </c>
      <c r="M64" s="2">
        <f>IF(tbl_campaigns[[#This Row],[Impressions]]=0,0,tbl_campaigns[[#This Row],[Clicks]]/tbl_campaigns[[#This Row],[Impressions]])</f>
        <v>9.4590346640756717E-2</v>
      </c>
      <c r="N64" s="2">
        <f>IF(tbl_campaigns[[#This Row],[Clicks]]=0,0,tbl_campaigns[[#This Row],[Conversions]]/tbl_campaigns[[#This Row],[Clicks]])</f>
        <v>4.1993957703927491E-2</v>
      </c>
      <c r="O64" s="2">
        <f>IF(tbl_campaigns[[#This Row],[Leads]]=0,0,tbl_campaigns[[#This Row],[Spend]]/tbl_campaigns[[#This Row],[Leads]])</f>
        <v>10.523791208791208</v>
      </c>
      <c r="P64" s="2">
        <f>IF(tbl_campaigns[[#This Row],[Spend]]=0,0,(tbl_campaigns[[#This Row],[Revenue]]-tbl_campaigns[[#This Row],[Spend]]) / tbl_campaigns[[#This Row],[Spend]])</f>
        <v>3.114213564590262</v>
      </c>
      <c r="Q64"/>
      <c r="R64"/>
    </row>
    <row r="65" spans="1:18" x14ac:dyDescent="0.25">
      <c r="A65" t="s">
        <v>92</v>
      </c>
      <c r="B65" t="s">
        <v>34</v>
      </c>
      <c r="C65" t="s">
        <v>21</v>
      </c>
      <c r="D65" t="s">
        <v>26</v>
      </c>
      <c r="E65" s="9">
        <v>46122</v>
      </c>
      <c r="F65" s="11">
        <v>46134</v>
      </c>
      <c r="G65">
        <v>60768</v>
      </c>
      <c r="H65">
        <v>1885</v>
      </c>
      <c r="I65">
        <v>692</v>
      </c>
      <c r="J65">
        <v>33</v>
      </c>
      <c r="K65" s="5">
        <v>7466.65</v>
      </c>
      <c r="L65" s="5">
        <v>25297.22</v>
      </c>
      <c r="M65" s="2">
        <f>IF(tbl_campaigns[[#This Row],[Impressions]]=0,0,tbl_campaigns[[#This Row],[Clicks]]/tbl_campaigns[[#This Row],[Impressions]])</f>
        <v>3.1019615587151134E-2</v>
      </c>
      <c r="N65" s="2">
        <f>IF(tbl_campaigns[[#This Row],[Clicks]]=0,0,tbl_campaigns[[#This Row],[Conversions]]/tbl_campaigns[[#This Row],[Clicks]])</f>
        <v>1.7506631299734749E-2</v>
      </c>
      <c r="O65" s="2">
        <f>IF(tbl_campaigns[[#This Row],[Leads]]=0,0,tbl_campaigns[[#This Row],[Spend]]/tbl_campaigns[[#This Row],[Leads]])</f>
        <v>10.789956647398844</v>
      </c>
      <c r="P65" s="2">
        <f>IF(tbl_campaigns[[#This Row],[Spend]]=0,0,(tbl_campaigns[[#This Row],[Revenue]]-tbl_campaigns[[#This Row],[Spend]]) / tbl_campaigns[[#This Row],[Spend]])</f>
        <v>2.388028098277005</v>
      </c>
      <c r="Q65"/>
      <c r="R65"/>
    </row>
    <row r="66" spans="1:18" x14ac:dyDescent="0.25">
      <c r="A66" t="s">
        <v>93</v>
      </c>
      <c r="B66" t="s">
        <v>36</v>
      </c>
      <c r="C66" t="s">
        <v>37</v>
      </c>
      <c r="D66" t="s">
        <v>15</v>
      </c>
      <c r="E66" s="9">
        <v>46032</v>
      </c>
      <c r="F66" s="11">
        <v>46057</v>
      </c>
      <c r="G66">
        <v>110520</v>
      </c>
      <c r="H66">
        <v>11276</v>
      </c>
      <c r="I66">
        <v>2089</v>
      </c>
      <c r="J66">
        <v>228</v>
      </c>
      <c r="K66" s="5">
        <v>5728.95</v>
      </c>
      <c r="L66" s="5">
        <v>13440.2</v>
      </c>
      <c r="M66" s="2">
        <f>IF(tbl_campaigns[[#This Row],[Impressions]]=0,0,tbl_campaigns[[#This Row],[Clicks]]/tbl_campaigns[[#This Row],[Impressions]])</f>
        <v>0.10202678248280854</v>
      </c>
      <c r="N66" s="2">
        <f>IF(tbl_campaigns[[#This Row],[Clicks]]=0,0,tbl_campaigns[[#This Row],[Conversions]]/tbl_campaigns[[#This Row],[Clicks]])</f>
        <v>2.0219936147570061E-2</v>
      </c>
      <c r="O66" s="2">
        <f>IF(tbl_campaigns[[#This Row],[Leads]]=0,0,tbl_campaigns[[#This Row],[Spend]]/tbl_campaigns[[#This Row],[Leads]])</f>
        <v>2.7424365725227382</v>
      </c>
      <c r="P66" s="2">
        <f>IF(tbl_campaigns[[#This Row],[Spend]]=0,0,(tbl_campaigns[[#This Row],[Revenue]]-tbl_campaigns[[#This Row],[Spend]]) / tbl_campaigns[[#This Row],[Spend]])</f>
        <v>1.3460145401862473</v>
      </c>
      <c r="Q66"/>
      <c r="R66"/>
    </row>
    <row r="67" spans="1:18" x14ac:dyDescent="0.25">
      <c r="A67" t="s">
        <v>94</v>
      </c>
      <c r="B67" t="s">
        <v>30</v>
      </c>
      <c r="C67" t="s">
        <v>11</v>
      </c>
      <c r="D67" t="s">
        <v>26</v>
      </c>
      <c r="E67" s="9">
        <v>46067</v>
      </c>
      <c r="F67" s="11">
        <v>46091</v>
      </c>
      <c r="G67">
        <v>76148</v>
      </c>
      <c r="H67">
        <v>6419</v>
      </c>
      <c r="I67">
        <v>1617</v>
      </c>
      <c r="J67">
        <v>90</v>
      </c>
      <c r="K67" s="5">
        <v>4294.71</v>
      </c>
      <c r="L67" s="5">
        <v>10722.51</v>
      </c>
      <c r="M67" s="2">
        <f>IF(tbl_campaigns[[#This Row],[Impressions]]=0,0,tbl_campaigns[[#This Row],[Clicks]]/tbl_campaigns[[#This Row],[Impressions]])</f>
        <v>8.4296370226401213E-2</v>
      </c>
      <c r="N67" s="2">
        <f>IF(tbl_campaigns[[#This Row],[Clicks]]=0,0,tbl_campaigns[[#This Row],[Conversions]]/tbl_campaigns[[#This Row],[Clicks]])</f>
        <v>1.4020875525782833E-2</v>
      </c>
      <c r="O67" s="2">
        <f>IF(tbl_campaigns[[#This Row],[Leads]]=0,0,tbl_campaigns[[#This Row],[Spend]]/tbl_campaigns[[#This Row],[Leads]])</f>
        <v>2.6559740259740261</v>
      </c>
      <c r="P67" s="2">
        <f>IF(tbl_campaigns[[#This Row],[Spend]]=0,0,(tbl_campaigns[[#This Row],[Revenue]]-tbl_campaigns[[#This Row],[Spend]]) / tbl_campaigns[[#This Row],[Spend]])</f>
        <v>1.4966784718875081</v>
      </c>
      <c r="Q67"/>
      <c r="R67"/>
    </row>
    <row r="68" spans="1:18" x14ac:dyDescent="0.25">
      <c r="A68" t="s">
        <v>95</v>
      </c>
      <c r="B68" t="s">
        <v>36</v>
      </c>
      <c r="C68" t="s">
        <v>37</v>
      </c>
      <c r="D68" t="s">
        <v>26</v>
      </c>
      <c r="E68" s="9">
        <v>46078</v>
      </c>
      <c r="F68" s="11">
        <v>46096</v>
      </c>
      <c r="G68">
        <v>103307</v>
      </c>
      <c r="H68">
        <v>8532</v>
      </c>
      <c r="I68">
        <v>2997</v>
      </c>
      <c r="J68">
        <v>333</v>
      </c>
      <c r="K68" s="5">
        <v>3766.15</v>
      </c>
      <c r="L68" s="5">
        <v>15021</v>
      </c>
      <c r="M68" s="2">
        <f>IF(tbl_campaigns[[#This Row],[Impressions]]=0,0,tbl_campaigns[[#This Row],[Clicks]]/tbl_campaigns[[#This Row],[Impressions]])</f>
        <v>8.2588788755844231E-2</v>
      </c>
      <c r="N68" s="2">
        <f>IF(tbl_campaigns[[#This Row],[Clicks]]=0,0,tbl_campaigns[[#This Row],[Conversions]]/tbl_campaigns[[#This Row],[Clicks]])</f>
        <v>3.9029535864978905E-2</v>
      </c>
      <c r="O68" s="2">
        <f>IF(tbl_campaigns[[#This Row],[Leads]]=0,0,tbl_campaigns[[#This Row],[Spend]]/tbl_campaigns[[#This Row],[Leads]])</f>
        <v>1.25663997330664</v>
      </c>
      <c r="P68" s="2">
        <f>IF(tbl_campaigns[[#This Row],[Spend]]=0,0,(tbl_campaigns[[#This Row],[Revenue]]-tbl_campaigns[[#This Row],[Spend]]) / tbl_campaigns[[#This Row],[Spend]])</f>
        <v>2.9884231907916572</v>
      </c>
      <c r="Q68"/>
      <c r="R68"/>
    </row>
    <row r="69" spans="1:18" x14ac:dyDescent="0.25">
      <c r="A69" t="s">
        <v>96</v>
      </c>
      <c r="B69" t="s">
        <v>39</v>
      </c>
      <c r="C69" t="s">
        <v>21</v>
      </c>
      <c r="D69" t="s">
        <v>18</v>
      </c>
      <c r="E69" s="9">
        <v>46082</v>
      </c>
      <c r="F69" s="11">
        <v>46102</v>
      </c>
      <c r="G69">
        <v>115817</v>
      </c>
      <c r="H69">
        <v>10707</v>
      </c>
      <c r="I69">
        <v>2298</v>
      </c>
      <c r="J69">
        <v>680</v>
      </c>
      <c r="K69" s="5">
        <v>6887.85</v>
      </c>
      <c r="L69" s="5">
        <v>30008.83</v>
      </c>
      <c r="M69" s="2">
        <f>IF(tbl_campaigns[[#This Row],[Impressions]]=0,0,tbl_campaigns[[#This Row],[Clicks]]/tbl_campaigns[[#This Row],[Impressions]])</f>
        <v>9.2447568146299772E-2</v>
      </c>
      <c r="N69" s="2">
        <f>IF(tbl_campaigns[[#This Row],[Clicks]]=0,0,tbl_campaigns[[#This Row],[Conversions]]/tbl_campaigns[[#This Row],[Clicks]])</f>
        <v>6.3509853366956193E-2</v>
      </c>
      <c r="O69" s="2">
        <f>IF(tbl_campaigns[[#This Row],[Leads]]=0,0,tbl_campaigns[[#This Row],[Spend]]/tbl_campaigns[[#This Row],[Leads]])</f>
        <v>2.9973237597911231</v>
      </c>
      <c r="P69" s="2">
        <f>IF(tbl_campaigns[[#This Row],[Spend]]=0,0,(tbl_campaigns[[#This Row],[Revenue]]-tbl_campaigns[[#This Row],[Spend]]) / tbl_campaigns[[#This Row],[Spend]])</f>
        <v>3.3567775140283254</v>
      </c>
      <c r="Q69"/>
      <c r="R69"/>
    </row>
    <row r="70" spans="1:18" x14ac:dyDescent="0.25">
      <c r="A70" t="s">
        <v>97</v>
      </c>
      <c r="B70" t="s">
        <v>10</v>
      </c>
      <c r="C70" t="s">
        <v>24</v>
      </c>
      <c r="D70" t="s">
        <v>18</v>
      </c>
      <c r="E70" s="9">
        <v>46054</v>
      </c>
      <c r="F70" s="11">
        <v>46075</v>
      </c>
      <c r="G70">
        <v>94691</v>
      </c>
      <c r="H70">
        <v>10999</v>
      </c>
      <c r="I70">
        <v>3204</v>
      </c>
      <c r="J70">
        <v>708</v>
      </c>
      <c r="K70" s="5">
        <v>715.25</v>
      </c>
      <c r="L70" s="5">
        <v>3171.15</v>
      </c>
      <c r="M70" s="2">
        <f>IF(tbl_campaigns[[#This Row],[Impressions]]=0,0,tbl_campaigns[[#This Row],[Clicks]]/tbl_campaigns[[#This Row],[Impressions]])</f>
        <v>0.1161567625223094</v>
      </c>
      <c r="N70" s="2">
        <f>IF(tbl_campaigns[[#This Row],[Clicks]]=0,0,tbl_campaigns[[#This Row],[Conversions]]/tbl_campaigns[[#This Row],[Clicks]])</f>
        <v>6.4369488135285022E-2</v>
      </c>
      <c r="O70" s="2">
        <f>IF(tbl_campaigns[[#This Row],[Leads]]=0,0,tbl_campaigns[[#This Row],[Spend]]/tbl_campaigns[[#This Row],[Leads]])</f>
        <v>0.22323657927590512</v>
      </c>
      <c r="P70" s="2">
        <f>IF(tbl_campaigns[[#This Row],[Spend]]=0,0,(tbl_campaigns[[#This Row],[Revenue]]-tbl_campaigns[[#This Row],[Spend]]) / tbl_campaigns[[#This Row],[Spend]])</f>
        <v>3.433624606780846</v>
      </c>
      <c r="Q70"/>
      <c r="R70"/>
    </row>
    <row r="71" spans="1:18" x14ac:dyDescent="0.25">
      <c r="A71" t="s">
        <v>98</v>
      </c>
      <c r="B71" t="s">
        <v>34</v>
      </c>
      <c r="C71" t="s">
        <v>37</v>
      </c>
      <c r="D71" t="s">
        <v>15</v>
      </c>
      <c r="E71" s="9">
        <v>46068</v>
      </c>
      <c r="F71" s="11">
        <v>46083</v>
      </c>
      <c r="G71">
        <v>64608</v>
      </c>
      <c r="H71">
        <v>3290</v>
      </c>
      <c r="I71">
        <v>665</v>
      </c>
      <c r="J71">
        <v>304</v>
      </c>
      <c r="K71" s="5">
        <v>576.13</v>
      </c>
      <c r="L71" s="5">
        <v>2766.94</v>
      </c>
      <c r="M71" s="2">
        <f>IF(tbl_campaigns[[#This Row],[Impressions]]=0,0,tbl_campaigns[[#This Row],[Clicks]]/tbl_campaigns[[#This Row],[Impressions]])</f>
        <v>5.092248637939574E-2</v>
      </c>
      <c r="N71" s="2">
        <f>IF(tbl_campaigns[[#This Row],[Clicks]]=0,0,tbl_campaigns[[#This Row],[Conversions]]/tbl_campaigns[[#This Row],[Clicks]])</f>
        <v>9.2401215805471129E-2</v>
      </c>
      <c r="O71" s="2">
        <f>IF(tbl_campaigns[[#This Row],[Leads]]=0,0,tbl_campaigns[[#This Row],[Spend]]/tbl_campaigns[[#This Row],[Leads]])</f>
        <v>0.86636090225563911</v>
      </c>
      <c r="P71" s="2">
        <f>IF(tbl_campaigns[[#This Row],[Spend]]=0,0,(tbl_campaigns[[#This Row],[Revenue]]-tbl_campaigns[[#This Row],[Spend]]) / tbl_campaigns[[#This Row],[Spend]])</f>
        <v>3.802631350563241</v>
      </c>
      <c r="Q71"/>
      <c r="R71"/>
    </row>
    <row r="72" spans="1:18" x14ac:dyDescent="0.25">
      <c r="A72" t="s">
        <v>99</v>
      </c>
      <c r="B72" t="s">
        <v>10</v>
      </c>
      <c r="C72" t="s">
        <v>14</v>
      </c>
      <c r="D72" t="s">
        <v>18</v>
      </c>
      <c r="E72" s="9">
        <v>46085</v>
      </c>
      <c r="F72" s="11">
        <v>46109</v>
      </c>
      <c r="G72">
        <v>119374</v>
      </c>
      <c r="H72">
        <v>4937</v>
      </c>
      <c r="I72">
        <v>1514</v>
      </c>
      <c r="J72">
        <v>507</v>
      </c>
      <c r="K72" s="5">
        <v>5344.27</v>
      </c>
      <c r="L72" s="5">
        <v>16380.83</v>
      </c>
      <c r="M72" s="2">
        <f>IF(tbl_campaigns[[#This Row],[Impressions]]=0,0,tbl_campaigns[[#This Row],[Clicks]]/tbl_campaigns[[#This Row],[Impressions]])</f>
        <v>4.1357414512372875E-2</v>
      </c>
      <c r="N72" s="2">
        <f>IF(tbl_campaigns[[#This Row],[Clicks]]=0,0,tbl_campaigns[[#This Row],[Conversions]]/tbl_campaigns[[#This Row],[Clicks]])</f>
        <v>0.10269394369050031</v>
      </c>
      <c r="O72" s="2">
        <f>IF(tbl_campaigns[[#This Row],[Leads]]=0,0,tbl_campaigns[[#This Row],[Spend]]/tbl_campaigns[[#This Row],[Leads]])</f>
        <v>3.5299009247027744</v>
      </c>
      <c r="P72" s="2">
        <f>IF(tbl_campaigns[[#This Row],[Spend]]=0,0,(tbl_campaigns[[#This Row],[Revenue]]-tbl_campaigns[[#This Row],[Spend]]) / tbl_campaigns[[#This Row],[Spend]])</f>
        <v>2.0651202128634965</v>
      </c>
      <c r="Q72"/>
      <c r="R72"/>
    </row>
    <row r="73" spans="1:18" x14ac:dyDescent="0.25">
      <c r="A73" t="s">
        <v>100</v>
      </c>
      <c r="B73" t="s">
        <v>17</v>
      </c>
      <c r="C73" t="s">
        <v>11</v>
      </c>
      <c r="D73" t="s">
        <v>12</v>
      </c>
      <c r="E73" s="9">
        <v>46051</v>
      </c>
      <c r="F73" s="11">
        <v>46070</v>
      </c>
      <c r="G73">
        <v>110673</v>
      </c>
      <c r="H73">
        <v>4986</v>
      </c>
      <c r="I73">
        <v>727</v>
      </c>
      <c r="J73">
        <v>359</v>
      </c>
      <c r="K73" s="5">
        <v>4861.67</v>
      </c>
      <c r="L73" s="5">
        <v>14577.18</v>
      </c>
      <c r="M73" s="2">
        <f>IF(tbl_campaigns[[#This Row],[Impressions]]=0,0,tbl_campaigns[[#This Row],[Clicks]]/tbl_campaigns[[#This Row],[Impressions]])</f>
        <v>4.5051638611043346E-2</v>
      </c>
      <c r="N73" s="2">
        <f>IF(tbl_campaigns[[#This Row],[Clicks]]=0,0,tbl_campaigns[[#This Row],[Conversions]]/tbl_campaigns[[#This Row],[Clicks]])</f>
        <v>7.2001604492579224E-2</v>
      </c>
      <c r="O73" s="2">
        <f>IF(tbl_campaigns[[#This Row],[Leads]]=0,0,tbl_campaigns[[#This Row],[Spend]]/tbl_campaigns[[#This Row],[Leads]])</f>
        <v>6.6873039889958736</v>
      </c>
      <c r="P73" s="2">
        <f>IF(tbl_campaigns[[#This Row],[Spend]]=0,0,(tbl_campaigns[[#This Row],[Revenue]]-tbl_campaigns[[#This Row],[Spend]]) / tbl_campaigns[[#This Row],[Spend]])</f>
        <v>1.9983894423109754</v>
      </c>
      <c r="Q73"/>
      <c r="R73"/>
    </row>
    <row r="74" spans="1:18" x14ac:dyDescent="0.25">
      <c r="A74" t="s">
        <v>101</v>
      </c>
      <c r="B74" t="s">
        <v>23</v>
      </c>
      <c r="C74" t="s">
        <v>24</v>
      </c>
      <c r="D74" t="s">
        <v>18</v>
      </c>
      <c r="E74" s="9">
        <v>46118</v>
      </c>
      <c r="F74" s="11">
        <v>46142</v>
      </c>
      <c r="G74">
        <v>63357</v>
      </c>
      <c r="H74">
        <v>3882</v>
      </c>
      <c r="I74">
        <v>1539</v>
      </c>
      <c r="J74">
        <v>484</v>
      </c>
      <c r="K74" s="5">
        <v>2531.87</v>
      </c>
      <c r="L74" s="5">
        <v>5457.03</v>
      </c>
      <c r="M74" s="2">
        <f>IF(tbl_campaigns[[#This Row],[Impressions]]=0,0,tbl_campaigns[[#This Row],[Clicks]]/tbl_campaigns[[#This Row],[Impressions]])</f>
        <v>6.1271840522752023E-2</v>
      </c>
      <c r="N74" s="2">
        <f>IF(tbl_campaigns[[#This Row],[Clicks]]=0,0,tbl_campaigns[[#This Row],[Conversions]]/tbl_campaigns[[#This Row],[Clicks]])</f>
        <v>0.12467800103039671</v>
      </c>
      <c r="O74" s="2">
        <f>IF(tbl_campaigns[[#This Row],[Leads]]=0,0,tbl_campaigns[[#This Row],[Spend]]/tbl_campaigns[[#This Row],[Leads]])</f>
        <v>1.6451397011046134</v>
      </c>
      <c r="P74" s="2">
        <f>IF(tbl_campaigns[[#This Row],[Spend]]=0,0,(tbl_campaigns[[#This Row],[Revenue]]-tbl_campaigns[[#This Row],[Spend]]) / tbl_campaigns[[#This Row],[Spend]])</f>
        <v>1.1553357794831489</v>
      </c>
      <c r="Q74"/>
      <c r="R74"/>
    </row>
    <row r="75" spans="1:18" x14ac:dyDescent="0.25">
      <c r="A75" t="s">
        <v>102</v>
      </c>
      <c r="B75" t="s">
        <v>10</v>
      </c>
      <c r="C75" t="s">
        <v>31</v>
      </c>
      <c r="D75" t="s">
        <v>15</v>
      </c>
      <c r="E75" s="9">
        <v>46063</v>
      </c>
      <c r="F75" s="11">
        <v>46073</v>
      </c>
      <c r="G75">
        <v>117370</v>
      </c>
      <c r="H75">
        <v>9779</v>
      </c>
      <c r="I75">
        <v>3221</v>
      </c>
      <c r="J75">
        <v>1433</v>
      </c>
      <c r="K75" s="5">
        <v>1888.62</v>
      </c>
      <c r="L75" s="5">
        <v>3819.28</v>
      </c>
      <c r="M75" s="2">
        <f>IF(tbl_campaigns[[#This Row],[Impressions]]=0,0,tbl_campaigns[[#This Row],[Clicks]]/tbl_campaigns[[#This Row],[Impressions]])</f>
        <v>8.3317713214620434E-2</v>
      </c>
      <c r="N75" s="2">
        <f>IF(tbl_campaigns[[#This Row],[Clicks]]=0,0,tbl_campaigns[[#This Row],[Conversions]]/tbl_campaigns[[#This Row],[Clicks]])</f>
        <v>0.14653850086920953</v>
      </c>
      <c r="O75" s="2">
        <f>IF(tbl_campaigns[[#This Row],[Leads]]=0,0,tbl_campaigns[[#This Row],[Spend]]/tbl_campaigns[[#This Row],[Leads]])</f>
        <v>0.5863458553244334</v>
      </c>
      <c r="P75" s="2">
        <f>IF(tbl_campaigns[[#This Row],[Spend]]=0,0,(tbl_campaigns[[#This Row],[Revenue]]-tbl_campaigns[[#This Row],[Spend]]) / tbl_campaigns[[#This Row],[Spend]])</f>
        <v>1.0222596393133614</v>
      </c>
      <c r="Q75"/>
      <c r="R75"/>
    </row>
    <row r="76" spans="1:18" x14ac:dyDescent="0.25">
      <c r="A76" t="s">
        <v>103</v>
      </c>
      <c r="B76" t="s">
        <v>53</v>
      </c>
      <c r="C76" t="s">
        <v>24</v>
      </c>
      <c r="D76" t="s">
        <v>12</v>
      </c>
      <c r="E76" s="9">
        <v>46035</v>
      </c>
      <c r="F76" s="11">
        <v>46048</v>
      </c>
      <c r="G76">
        <v>58829</v>
      </c>
      <c r="H76">
        <v>2863</v>
      </c>
      <c r="I76">
        <v>839</v>
      </c>
      <c r="J76">
        <v>111</v>
      </c>
      <c r="K76" s="5">
        <v>2767.01</v>
      </c>
      <c r="L76" s="5">
        <v>10764.97</v>
      </c>
      <c r="M76" s="2">
        <f>IF(tbl_campaigns[[#This Row],[Impressions]]=0,0,tbl_campaigns[[#This Row],[Clicks]]/tbl_campaigns[[#This Row],[Impressions]])</f>
        <v>4.8666474017916336E-2</v>
      </c>
      <c r="N76" s="2">
        <f>IF(tbl_campaigns[[#This Row],[Clicks]]=0,0,tbl_campaigns[[#This Row],[Conversions]]/tbl_campaigns[[#This Row],[Clicks]])</f>
        <v>3.8770520433112118E-2</v>
      </c>
      <c r="O76" s="2">
        <f>IF(tbl_campaigns[[#This Row],[Leads]]=0,0,tbl_campaigns[[#This Row],[Spend]]/tbl_campaigns[[#This Row],[Leads]])</f>
        <v>3.2979856972586417</v>
      </c>
      <c r="P76" s="2">
        <f>IF(tbl_campaigns[[#This Row],[Spend]]=0,0,(tbl_campaigns[[#This Row],[Revenue]]-tbl_campaigns[[#This Row],[Spend]]) / tbl_campaigns[[#This Row],[Spend]])</f>
        <v>2.890470218755985</v>
      </c>
      <c r="Q76"/>
      <c r="R76"/>
    </row>
    <row r="77" spans="1:18" x14ac:dyDescent="0.25">
      <c r="A77" t="s">
        <v>104</v>
      </c>
      <c r="B77" t="s">
        <v>34</v>
      </c>
      <c r="C77" t="s">
        <v>24</v>
      </c>
      <c r="D77" t="s">
        <v>26</v>
      </c>
      <c r="E77" s="9">
        <v>46029</v>
      </c>
      <c r="F77" s="11">
        <v>46053</v>
      </c>
      <c r="G77">
        <v>58290</v>
      </c>
      <c r="H77">
        <v>6713</v>
      </c>
      <c r="I77">
        <v>617</v>
      </c>
      <c r="J77">
        <v>271</v>
      </c>
      <c r="K77" s="5">
        <v>1269.4100000000001</v>
      </c>
      <c r="L77" s="5">
        <v>1582.46</v>
      </c>
      <c r="M77" s="2">
        <f>IF(tbl_campaigns[[#This Row],[Impressions]]=0,0,tbl_campaigns[[#This Row],[Clicks]]/tbl_campaigns[[#This Row],[Impressions]])</f>
        <v>0.11516555155258192</v>
      </c>
      <c r="N77" s="2">
        <f>IF(tbl_campaigns[[#This Row],[Clicks]]=0,0,tbl_campaigns[[#This Row],[Conversions]]/tbl_campaigns[[#This Row],[Clicks]])</f>
        <v>4.0369432444510654E-2</v>
      </c>
      <c r="O77" s="2">
        <f>IF(tbl_campaigns[[#This Row],[Leads]]=0,0,tbl_campaigns[[#This Row],[Spend]]/tbl_campaigns[[#This Row],[Leads]])</f>
        <v>2.057390599675851</v>
      </c>
      <c r="P77" s="2">
        <f>IF(tbl_campaigns[[#This Row],[Spend]]=0,0,(tbl_campaigns[[#This Row],[Revenue]]-tbl_campaigns[[#This Row],[Spend]]) / tbl_campaigns[[#This Row],[Spend]])</f>
        <v>0.24661063013525963</v>
      </c>
      <c r="Q77"/>
      <c r="R77"/>
    </row>
    <row r="78" spans="1:18" x14ac:dyDescent="0.25">
      <c r="A78" t="s">
        <v>105</v>
      </c>
      <c r="B78" t="s">
        <v>39</v>
      </c>
      <c r="C78" t="s">
        <v>37</v>
      </c>
      <c r="D78" t="s">
        <v>18</v>
      </c>
      <c r="E78" s="9">
        <v>46079</v>
      </c>
      <c r="F78" s="11">
        <v>46096</v>
      </c>
      <c r="G78">
        <v>44164</v>
      </c>
      <c r="H78">
        <v>1420</v>
      </c>
      <c r="I78">
        <v>229</v>
      </c>
      <c r="J78">
        <v>81</v>
      </c>
      <c r="K78" s="5">
        <v>1355.65</v>
      </c>
      <c r="L78" s="5">
        <v>1963.39</v>
      </c>
      <c r="M78" s="2">
        <f>IF(tbl_campaigns[[#This Row],[Impressions]]=0,0,tbl_campaigns[[#This Row],[Clicks]]/tbl_campaigns[[#This Row],[Impressions]])</f>
        <v>3.2152884702472601E-2</v>
      </c>
      <c r="N78" s="2">
        <f>IF(tbl_campaigns[[#This Row],[Clicks]]=0,0,tbl_campaigns[[#This Row],[Conversions]]/tbl_campaigns[[#This Row],[Clicks]])</f>
        <v>5.7042253521126761E-2</v>
      </c>
      <c r="O78" s="2">
        <f>IF(tbl_campaigns[[#This Row],[Leads]]=0,0,tbl_campaigns[[#This Row],[Spend]]/tbl_campaigns[[#This Row],[Leads]])</f>
        <v>5.9198689956331885</v>
      </c>
      <c r="P78" s="2">
        <f>IF(tbl_campaigns[[#This Row],[Spend]]=0,0,(tbl_campaigns[[#This Row],[Revenue]]-tbl_campaigns[[#This Row],[Spend]]) / tbl_campaigns[[#This Row],[Spend]])</f>
        <v>0.4483015527606683</v>
      </c>
      <c r="Q78"/>
      <c r="R78"/>
    </row>
    <row r="79" spans="1:18" x14ac:dyDescent="0.25">
      <c r="A79" t="s">
        <v>106</v>
      </c>
      <c r="B79" t="s">
        <v>53</v>
      </c>
      <c r="C79" t="s">
        <v>11</v>
      </c>
      <c r="D79" t="s">
        <v>26</v>
      </c>
      <c r="E79" s="9">
        <v>46042</v>
      </c>
      <c r="F79" s="11">
        <v>46053</v>
      </c>
      <c r="G79">
        <v>93772</v>
      </c>
      <c r="H79">
        <v>5978</v>
      </c>
      <c r="I79">
        <v>448</v>
      </c>
      <c r="J79">
        <v>83</v>
      </c>
      <c r="K79" s="5">
        <v>1388.39</v>
      </c>
      <c r="L79" s="5">
        <v>5699.18</v>
      </c>
      <c r="M79" s="2">
        <f>IF(tbl_campaigns[[#This Row],[Impressions]]=0,0,tbl_campaigns[[#This Row],[Clicks]]/tbl_campaigns[[#This Row],[Impressions]])</f>
        <v>6.3750373245744993E-2</v>
      </c>
      <c r="N79" s="2">
        <f>IF(tbl_campaigns[[#This Row],[Clicks]]=0,0,tbl_campaigns[[#This Row],[Conversions]]/tbl_campaigns[[#This Row],[Clicks]])</f>
        <v>1.3884242221478755E-2</v>
      </c>
      <c r="O79" s="2">
        <f>IF(tbl_campaigns[[#This Row],[Leads]]=0,0,tbl_campaigns[[#This Row],[Spend]]/tbl_campaigns[[#This Row],[Leads]])</f>
        <v>3.0990848214285718</v>
      </c>
      <c r="P79" s="2">
        <f>IF(tbl_campaigns[[#This Row],[Spend]]=0,0,(tbl_campaigns[[#This Row],[Revenue]]-tbl_campaigns[[#This Row],[Spend]]) / tbl_campaigns[[#This Row],[Spend]])</f>
        <v>3.1048840743595099</v>
      </c>
      <c r="Q79"/>
      <c r="R79"/>
    </row>
    <row r="80" spans="1:18" x14ac:dyDescent="0.25">
      <c r="A80" t="s">
        <v>107</v>
      </c>
      <c r="B80" t="s">
        <v>30</v>
      </c>
      <c r="C80" t="s">
        <v>21</v>
      </c>
      <c r="D80" t="s">
        <v>15</v>
      </c>
      <c r="E80" s="9">
        <v>46122</v>
      </c>
      <c r="F80" s="11">
        <v>46145</v>
      </c>
      <c r="G80">
        <v>69856</v>
      </c>
      <c r="H80">
        <v>4690</v>
      </c>
      <c r="I80">
        <v>1006</v>
      </c>
      <c r="J80">
        <v>172</v>
      </c>
      <c r="K80" s="5">
        <v>6951.25</v>
      </c>
      <c r="L80" s="5">
        <v>34492.93</v>
      </c>
      <c r="M80" s="2">
        <f>IF(tbl_campaigns[[#This Row],[Impressions]]=0,0,tbl_campaigns[[#This Row],[Clicks]]/tbl_campaigns[[#This Row],[Impressions]])</f>
        <v>6.7138112688960153E-2</v>
      </c>
      <c r="N80" s="2">
        <f>IF(tbl_campaigns[[#This Row],[Clicks]]=0,0,tbl_campaigns[[#This Row],[Conversions]]/tbl_campaigns[[#This Row],[Clicks]])</f>
        <v>3.6673773987206823E-2</v>
      </c>
      <c r="O80" s="2">
        <f>IF(tbl_campaigns[[#This Row],[Leads]]=0,0,tbl_campaigns[[#This Row],[Spend]]/tbl_campaigns[[#This Row],[Leads]])</f>
        <v>6.9097912524850891</v>
      </c>
      <c r="P80" s="2">
        <f>IF(tbl_campaigns[[#This Row],[Spend]]=0,0,(tbl_campaigns[[#This Row],[Revenue]]-tbl_campaigns[[#This Row],[Spend]]) / tbl_campaigns[[#This Row],[Spend]])</f>
        <v>3.9621190433375291</v>
      </c>
      <c r="Q80"/>
      <c r="R80"/>
    </row>
    <row r="81" spans="1:18" x14ac:dyDescent="0.25">
      <c r="A81" t="s">
        <v>108</v>
      </c>
      <c r="B81" t="s">
        <v>39</v>
      </c>
      <c r="C81" t="s">
        <v>21</v>
      </c>
      <c r="D81" t="s">
        <v>26</v>
      </c>
      <c r="E81" s="9">
        <v>46101</v>
      </c>
      <c r="F81" s="11">
        <v>46131</v>
      </c>
      <c r="G81">
        <v>33006</v>
      </c>
      <c r="H81">
        <v>1851</v>
      </c>
      <c r="I81">
        <v>740</v>
      </c>
      <c r="J81">
        <v>128</v>
      </c>
      <c r="K81" s="5">
        <v>2484.85</v>
      </c>
      <c r="L81" s="5">
        <v>3748.43</v>
      </c>
      <c r="M81" s="2">
        <f>IF(tbl_campaigns[[#This Row],[Impressions]]=0,0,tbl_campaigns[[#This Row],[Clicks]]/tbl_campaigns[[#This Row],[Impressions]])</f>
        <v>5.6080712597709505E-2</v>
      </c>
      <c r="N81" s="2">
        <f>IF(tbl_campaigns[[#This Row],[Clicks]]=0,0,tbl_campaigns[[#This Row],[Conversions]]/tbl_campaigns[[#This Row],[Clicks]])</f>
        <v>6.9151809832522962E-2</v>
      </c>
      <c r="O81" s="2">
        <f>IF(tbl_campaigns[[#This Row],[Leads]]=0,0,tbl_campaigns[[#This Row],[Spend]]/tbl_campaigns[[#This Row],[Leads]])</f>
        <v>3.3579054054054054</v>
      </c>
      <c r="P81" s="2">
        <f>IF(tbl_campaigns[[#This Row],[Spend]]=0,0,(tbl_campaigns[[#This Row],[Revenue]]-tbl_campaigns[[#This Row],[Spend]]) / tbl_campaigns[[#This Row],[Spend]])</f>
        <v>0.50851359236976079</v>
      </c>
      <c r="Q81"/>
      <c r="R81"/>
    </row>
    <row r="82" spans="1:18" x14ac:dyDescent="0.25">
      <c r="A82" t="s">
        <v>109</v>
      </c>
      <c r="B82" t="s">
        <v>45</v>
      </c>
      <c r="C82" t="s">
        <v>14</v>
      </c>
      <c r="D82" t="s">
        <v>26</v>
      </c>
      <c r="E82" s="9">
        <v>46043</v>
      </c>
      <c r="F82" s="11">
        <v>46050</v>
      </c>
      <c r="G82">
        <v>73545</v>
      </c>
      <c r="H82">
        <v>4690</v>
      </c>
      <c r="I82">
        <v>1511</v>
      </c>
      <c r="J82">
        <v>628</v>
      </c>
      <c r="K82" s="5">
        <v>4024.34</v>
      </c>
      <c r="L82" s="5">
        <v>5328.35</v>
      </c>
      <c r="M82" s="2">
        <f>IF(tbl_campaigns[[#This Row],[Impressions]]=0,0,tbl_campaigns[[#This Row],[Clicks]]/tbl_campaigns[[#This Row],[Impressions]])</f>
        <v>6.3770480658100481E-2</v>
      </c>
      <c r="N82" s="2">
        <f>IF(tbl_campaigns[[#This Row],[Clicks]]=0,0,tbl_campaigns[[#This Row],[Conversions]]/tbl_campaigns[[#This Row],[Clicks]])</f>
        <v>0.13390191897654585</v>
      </c>
      <c r="O82" s="2">
        <f>IF(tbl_campaigns[[#This Row],[Leads]]=0,0,tbl_campaigns[[#This Row],[Spend]]/tbl_campaigns[[#This Row],[Leads]])</f>
        <v>2.6633620119126409</v>
      </c>
      <c r="P82" s="2">
        <f>IF(tbl_campaigns[[#This Row],[Spend]]=0,0,(tbl_campaigns[[#This Row],[Revenue]]-tbl_campaigns[[#This Row],[Spend]]) / tbl_campaigns[[#This Row],[Spend]])</f>
        <v>0.32403077274782949</v>
      </c>
      <c r="Q82"/>
      <c r="R82"/>
    </row>
    <row r="83" spans="1:18" x14ac:dyDescent="0.25">
      <c r="A83" t="s">
        <v>110</v>
      </c>
      <c r="B83" t="s">
        <v>39</v>
      </c>
      <c r="C83" t="s">
        <v>31</v>
      </c>
      <c r="D83" t="s">
        <v>12</v>
      </c>
      <c r="E83" s="9">
        <v>46112</v>
      </c>
      <c r="F83" s="11">
        <v>46133</v>
      </c>
      <c r="G83">
        <v>29329</v>
      </c>
      <c r="H83">
        <v>1956</v>
      </c>
      <c r="I83">
        <v>370</v>
      </c>
      <c r="J83">
        <v>180</v>
      </c>
      <c r="K83" s="5">
        <v>4923.42</v>
      </c>
      <c r="L83" s="5">
        <v>20948.37</v>
      </c>
      <c r="M83" s="2">
        <f>IF(tbl_campaigns[[#This Row],[Impressions]]=0,0,tbl_campaigns[[#This Row],[Clicks]]/tbl_campaigns[[#This Row],[Impressions]])</f>
        <v>6.6691670360394154E-2</v>
      </c>
      <c r="N83" s="2">
        <f>IF(tbl_campaigns[[#This Row],[Clicks]]=0,0,tbl_campaigns[[#This Row],[Conversions]]/tbl_campaigns[[#This Row],[Clicks]])</f>
        <v>9.202453987730061E-2</v>
      </c>
      <c r="O83" s="2">
        <f>IF(tbl_campaigns[[#This Row],[Leads]]=0,0,tbl_campaigns[[#This Row],[Spend]]/tbl_campaigns[[#This Row],[Leads]])</f>
        <v>13.30654054054054</v>
      </c>
      <c r="P83" s="2">
        <f>IF(tbl_campaigns[[#This Row],[Spend]]=0,0,(tbl_campaigns[[#This Row],[Revenue]]-tbl_campaigns[[#This Row],[Spend]]) / tbl_campaigns[[#This Row],[Spend]])</f>
        <v>3.2548411470075678</v>
      </c>
      <c r="Q83"/>
      <c r="R83"/>
    </row>
    <row r="84" spans="1:18" x14ac:dyDescent="0.25">
      <c r="A84" t="s">
        <v>111</v>
      </c>
      <c r="B84" t="s">
        <v>45</v>
      </c>
      <c r="C84" t="s">
        <v>37</v>
      </c>
      <c r="D84" t="s">
        <v>26</v>
      </c>
      <c r="E84" s="9">
        <v>46092</v>
      </c>
      <c r="F84" s="11">
        <v>46106</v>
      </c>
      <c r="G84">
        <v>104886</v>
      </c>
      <c r="H84">
        <v>3441</v>
      </c>
      <c r="I84">
        <v>644</v>
      </c>
      <c r="J84">
        <v>92</v>
      </c>
      <c r="K84" s="5">
        <v>1035.57</v>
      </c>
      <c r="L84" s="5">
        <v>1895.62</v>
      </c>
      <c r="M84" s="2">
        <f>IF(tbl_campaigns[[#This Row],[Impressions]]=0,0,tbl_campaigns[[#This Row],[Clicks]]/tbl_campaigns[[#This Row],[Impressions]])</f>
        <v>3.2807047651736171E-2</v>
      </c>
      <c r="N84" s="2">
        <f>IF(tbl_campaigns[[#This Row],[Clicks]]=0,0,tbl_campaigns[[#This Row],[Conversions]]/tbl_campaigns[[#This Row],[Clicks]])</f>
        <v>2.6736413833188026E-2</v>
      </c>
      <c r="O84" s="2">
        <f>IF(tbl_campaigns[[#This Row],[Leads]]=0,0,tbl_campaigns[[#This Row],[Spend]]/tbl_campaigns[[#This Row],[Leads]])</f>
        <v>1.608027950310559</v>
      </c>
      <c r="P84" s="2">
        <f>IF(tbl_campaigns[[#This Row],[Spend]]=0,0,(tbl_campaigns[[#This Row],[Revenue]]-tbl_campaigns[[#This Row],[Spend]]) / tbl_campaigns[[#This Row],[Spend]])</f>
        <v>0.83050880191585308</v>
      </c>
      <c r="Q84"/>
      <c r="R84"/>
    </row>
    <row r="85" spans="1:18" x14ac:dyDescent="0.25">
      <c r="A85" t="s">
        <v>112</v>
      </c>
      <c r="B85" t="s">
        <v>39</v>
      </c>
      <c r="C85" t="s">
        <v>21</v>
      </c>
      <c r="D85" t="s">
        <v>12</v>
      </c>
      <c r="E85" s="9">
        <v>46079</v>
      </c>
      <c r="F85" s="11">
        <v>46089</v>
      </c>
      <c r="G85">
        <v>81433</v>
      </c>
      <c r="H85">
        <v>5982</v>
      </c>
      <c r="I85">
        <v>1748</v>
      </c>
      <c r="J85">
        <v>298</v>
      </c>
      <c r="K85" s="5">
        <v>4253.54</v>
      </c>
      <c r="L85" s="5">
        <v>13085.68</v>
      </c>
      <c r="M85" s="2">
        <f>IF(tbl_campaigns[[#This Row],[Impressions]]=0,0,tbl_campaigns[[#This Row],[Clicks]]/tbl_campaigns[[#This Row],[Impressions]])</f>
        <v>7.3459162747289183E-2</v>
      </c>
      <c r="N85" s="2">
        <f>IF(tbl_campaigns[[#This Row],[Clicks]]=0,0,tbl_campaigns[[#This Row],[Conversions]]/tbl_campaigns[[#This Row],[Clicks]])</f>
        <v>4.9816115011701773E-2</v>
      </c>
      <c r="O85" s="2">
        <f>IF(tbl_campaigns[[#This Row],[Leads]]=0,0,tbl_campaigns[[#This Row],[Spend]]/tbl_campaigns[[#This Row],[Leads]])</f>
        <v>2.4333752860411897</v>
      </c>
      <c r="P85" s="2">
        <f>IF(tbl_campaigns[[#This Row],[Spend]]=0,0,(tbl_campaigns[[#This Row],[Revenue]]-tbl_campaigns[[#This Row],[Spend]]) / tbl_campaigns[[#This Row],[Spend]])</f>
        <v>2.0764210516416912</v>
      </c>
      <c r="Q85"/>
      <c r="R85"/>
    </row>
    <row r="86" spans="1:18" x14ac:dyDescent="0.25">
      <c r="A86" t="s">
        <v>113</v>
      </c>
      <c r="B86" t="s">
        <v>10</v>
      </c>
      <c r="C86" t="s">
        <v>21</v>
      </c>
      <c r="D86" t="s">
        <v>26</v>
      </c>
      <c r="E86" s="9">
        <v>46136</v>
      </c>
      <c r="F86" s="11">
        <v>46156</v>
      </c>
      <c r="G86">
        <v>116276</v>
      </c>
      <c r="H86">
        <v>6280</v>
      </c>
      <c r="I86">
        <v>1125</v>
      </c>
      <c r="J86">
        <v>46</v>
      </c>
      <c r="K86" s="5">
        <v>1184.95</v>
      </c>
      <c r="L86" s="5">
        <v>5753.24</v>
      </c>
      <c r="M86" s="2">
        <f>IF(tbl_campaigns[[#This Row],[Impressions]]=0,0,tbl_campaigns[[#This Row],[Clicks]]/tbl_campaigns[[#This Row],[Impressions]])</f>
        <v>5.4009425848842413E-2</v>
      </c>
      <c r="N86" s="2">
        <f>IF(tbl_campaigns[[#This Row],[Clicks]]=0,0,tbl_campaigns[[#This Row],[Conversions]]/tbl_campaigns[[#This Row],[Clicks]])</f>
        <v>7.3248407643312103E-3</v>
      </c>
      <c r="O86" s="2">
        <f>IF(tbl_campaigns[[#This Row],[Leads]]=0,0,tbl_campaigns[[#This Row],[Spend]]/tbl_campaigns[[#This Row],[Leads]])</f>
        <v>1.0532888888888889</v>
      </c>
      <c r="P86" s="2">
        <f>IF(tbl_campaigns[[#This Row],[Spend]]=0,0,(tbl_campaigns[[#This Row],[Revenue]]-tbl_campaigns[[#This Row],[Spend]]) / tbl_campaigns[[#This Row],[Spend]])</f>
        <v>3.8552597155998143</v>
      </c>
      <c r="Q86"/>
      <c r="R86"/>
    </row>
    <row r="87" spans="1:18" x14ac:dyDescent="0.25">
      <c r="A87" t="s">
        <v>114</v>
      </c>
      <c r="B87" t="s">
        <v>30</v>
      </c>
      <c r="C87" t="s">
        <v>21</v>
      </c>
      <c r="D87" t="s">
        <v>26</v>
      </c>
      <c r="E87" s="9">
        <v>46120</v>
      </c>
      <c r="F87" s="11">
        <v>46148</v>
      </c>
      <c r="G87">
        <v>55325</v>
      </c>
      <c r="H87">
        <v>5720</v>
      </c>
      <c r="I87">
        <v>264</v>
      </c>
      <c r="J87">
        <v>117</v>
      </c>
      <c r="K87" s="5">
        <v>6172.02</v>
      </c>
      <c r="L87" s="5">
        <v>18441.400000000001</v>
      </c>
      <c r="M87" s="2">
        <f>IF(tbl_campaigns[[#This Row],[Impressions]]=0,0,tbl_campaigns[[#This Row],[Clicks]]/tbl_campaigns[[#This Row],[Impressions]])</f>
        <v>0.10338906461816538</v>
      </c>
      <c r="N87" s="2">
        <f>IF(tbl_campaigns[[#This Row],[Clicks]]=0,0,tbl_campaigns[[#This Row],[Conversions]]/tbl_campaigns[[#This Row],[Clicks]])</f>
        <v>2.0454545454545454E-2</v>
      </c>
      <c r="O87" s="2">
        <f>IF(tbl_campaigns[[#This Row],[Leads]]=0,0,tbl_campaigns[[#This Row],[Spend]]/tbl_campaigns[[#This Row],[Leads]])</f>
        <v>23.378863636363636</v>
      </c>
      <c r="P87" s="2">
        <f>IF(tbl_campaigns[[#This Row],[Spend]]=0,0,(tbl_campaigns[[#This Row],[Revenue]]-tbl_campaigns[[#This Row],[Spend]]) / tbl_campaigns[[#This Row],[Spend]])</f>
        <v>1.9879034740652168</v>
      </c>
      <c r="Q87"/>
      <c r="R87"/>
    </row>
    <row r="88" spans="1:18" x14ac:dyDescent="0.25">
      <c r="A88" t="s">
        <v>115</v>
      </c>
      <c r="B88" t="s">
        <v>53</v>
      </c>
      <c r="C88" t="s">
        <v>24</v>
      </c>
      <c r="D88" t="s">
        <v>15</v>
      </c>
      <c r="E88" s="9">
        <v>46097</v>
      </c>
      <c r="F88" s="11">
        <v>46117</v>
      </c>
      <c r="G88">
        <v>103202</v>
      </c>
      <c r="H88">
        <v>9056</v>
      </c>
      <c r="I88">
        <v>473</v>
      </c>
      <c r="J88">
        <v>140</v>
      </c>
      <c r="K88" s="5">
        <v>3109.71</v>
      </c>
      <c r="L88" s="5">
        <v>7670.32</v>
      </c>
      <c r="M88" s="2">
        <f>IF(tbl_campaigns[[#This Row],[Impressions]]=0,0,tbl_campaigns[[#This Row],[Clicks]]/tbl_campaigns[[#This Row],[Impressions]])</f>
        <v>8.7750237398500033E-2</v>
      </c>
      <c r="N88" s="2">
        <f>IF(tbl_campaigns[[#This Row],[Clicks]]=0,0,tbl_campaigns[[#This Row],[Conversions]]/tbl_campaigns[[#This Row],[Clicks]])</f>
        <v>1.5459363957597174E-2</v>
      </c>
      <c r="O88" s="2">
        <f>IF(tbl_campaigns[[#This Row],[Leads]]=0,0,tbl_campaigns[[#This Row],[Spend]]/tbl_campaigns[[#This Row],[Leads]])</f>
        <v>6.5744397463002118</v>
      </c>
      <c r="P88" s="2">
        <f>IF(tbl_campaigns[[#This Row],[Spend]]=0,0,(tbl_campaigns[[#This Row],[Revenue]]-tbl_campaigns[[#This Row],[Spend]]) / tbl_campaigns[[#This Row],[Spend]])</f>
        <v>1.4665708377951641</v>
      </c>
      <c r="Q88"/>
      <c r="R88"/>
    </row>
    <row r="89" spans="1:18" x14ac:dyDescent="0.25">
      <c r="A89" t="s">
        <v>116</v>
      </c>
      <c r="B89" t="s">
        <v>10</v>
      </c>
      <c r="C89" t="s">
        <v>14</v>
      </c>
      <c r="D89" t="s">
        <v>12</v>
      </c>
      <c r="E89" s="9">
        <v>46075</v>
      </c>
      <c r="F89" s="11">
        <v>46104</v>
      </c>
      <c r="G89">
        <v>84942</v>
      </c>
      <c r="H89">
        <v>5722</v>
      </c>
      <c r="I89">
        <v>1740</v>
      </c>
      <c r="J89">
        <v>853</v>
      </c>
      <c r="K89" s="5">
        <v>6203.75</v>
      </c>
      <c r="L89" s="5">
        <v>8309.61</v>
      </c>
      <c r="M89" s="2">
        <f>IF(tbl_campaigns[[#This Row],[Impressions]]=0,0,tbl_campaigns[[#This Row],[Clicks]]/tbl_campaigns[[#This Row],[Impressions]])</f>
        <v>6.7363612818158267E-2</v>
      </c>
      <c r="N89" s="2">
        <f>IF(tbl_campaigns[[#This Row],[Clicks]]=0,0,tbl_campaigns[[#This Row],[Conversions]]/tbl_campaigns[[#This Row],[Clicks]])</f>
        <v>0.14907375043691018</v>
      </c>
      <c r="O89" s="2">
        <f>IF(tbl_campaigns[[#This Row],[Leads]]=0,0,tbl_campaigns[[#This Row],[Spend]]/tbl_campaigns[[#This Row],[Leads]])</f>
        <v>3.5653735632183907</v>
      </c>
      <c r="P89" s="2">
        <f>IF(tbl_campaigns[[#This Row],[Spend]]=0,0,(tbl_campaigns[[#This Row],[Revenue]]-tbl_campaigns[[#This Row],[Spend]]) / tbl_campaigns[[#This Row],[Spend]])</f>
        <v>0.33944952649607102</v>
      </c>
      <c r="Q89"/>
      <c r="R89"/>
    </row>
    <row r="90" spans="1:18" x14ac:dyDescent="0.25">
      <c r="A90" t="s">
        <v>117</v>
      </c>
      <c r="B90" t="s">
        <v>10</v>
      </c>
      <c r="C90" t="s">
        <v>24</v>
      </c>
      <c r="D90" t="s">
        <v>12</v>
      </c>
      <c r="E90" s="9">
        <v>46064</v>
      </c>
      <c r="F90" s="11">
        <v>46074</v>
      </c>
      <c r="G90">
        <v>72976</v>
      </c>
      <c r="H90">
        <v>8085</v>
      </c>
      <c r="I90">
        <v>2207</v>
      </c>
      <c r="J90">
        <v>22</v>
      </c>
      <c r="K90" s="5">
        <v>5432.45</v>
      </c>
      <c r="L90" s="5">
        <v>17719.87</v>
      </c>
      <c r="M90" s="2">
        <f>IF(tbl_campaigns[[#This Row],[Impressions]]=0,0,tbl_campaigns[[#This Row],[Clicks]]/tbl_campaigns[[#This Row],[Impressions]])</f>
        <v>0.11078984871738654</v>
      </c>
      <c r="N90" s="2">
        <f>IF(tbl_campaigns[[#This Row],[Clicks]]=0,0,tbl_campaigns[[#This Row],[Conversions]]/tbl_campaigns[[#This Row],[Clicks]])</f>
        <v>2.7210884353741495E-3</v>
      </c>
      <c r="O90" s="2">
        <f>IF(tbl_campaigns[[#This Row],[Leads]]=0,0,tbl_campaigns[[#This Row],[Spend]]/tbl_campaigns[[#This Row],[Leads]])</f>
        <v>2.4614635251472587</v>
      </c>
      <c r="P90" s="2">
        <f>IF(tbl_campaigns[[#This Row],[Spend]]=0,0,(tbl_campaigns[[#This Row],[Revenue]]-tbl_campaigns[[#This Row],[Spend]]) / tbl_campaigns[[#This Row],[Spend]])</f>
        <v>2.2618560686246534</v>
      </c>
      <c r="Q90"/>
      <c r="R90"/>
    </row>
    <row r="91" spans="1:18" x14ac:dyDescent="0.25">
      <c r="A91" t="s">
        <v>118</v>
      </c>
      <c r="B91" t="s">
        <v>36</v>
      </c>
      <c r="C91" t="s">
        <v>11</v>
      </c>
      <c r="D91" t="s">
        <v>15</v>
      </c>
      <c r="E91" s="9">
        <v>46089</v>
      </c>
      <c r="F91" s="11">
        <v>46107</v>
      </c>
      <c r="G91">
        <v>101609</v>
      </c>
      <c r="H91">
        <v>9167</v>
      </c>
      <c r="I91">
        <v>2661</v>
      </c>
      <c r="J91">
        <v>925</v>
      </c>
      <c r="K91" s="5">
        <v>6199.93</v>
      </c>
      <c r="L91" s="5">
        <v>12235.69</v>
      </c>
      <c r="M91" s="2">
        <f>IF(tbl_campaigns[[#This Row],[Impressions]]=0,0,tbl_campaigns[[#This Row],[Clicks]]/tbl_campaigns[[#This Row],[Impressions]])</f>
        <v>9.0218386166579734E-2</v>
      </c>
      <c r="N91" s="2">
        <f>IF(tbl_campaigns[[#This Row],[Clicks]]=0,0,tbl_campaigns[[#This Row],[Conversions]]/tbl_campaigns[[#This Row],[Clicks]])</f>
        <v>0.10090542162103196</v>
      </c>
      <c r="O91" s="2">
        <f>IF(tbl_campaigns[[#This Row],[Leads]]=0,0,tbl_campaigns[[#This Row],[Spend]]/tbl_campaigns[[#This Row],[Leads]])</f>
        <v>2.329924840285607</v>
      </c>
      <c r="P91" s="2">
        <f>IF(tbl_campaigns[[#This Row],[Spend]]=0,0,(tbl_campaigns[[#This Row],[Revenue]]-tbl_campaigns[[#This Row],[Spend]]) / tbl_campaigns[[#This Row],[Spend]])</f>
        <v>0.97352066878174426</v>
      </c>
      <c r="Q91"/>
      <c r="R91"/>
    </row>
    <row r="92" spans="1:18" x14ac:dyDescent="0.25">
      <c r="A92" t="s">
        <v>119</v>
      </c>
      <c r="B92" t="s">
        <v>23</v>
      </c>
      <c r="C92" t="s">
        <v>14</v>
      </c>
      <c r="D92" t="s">
        <v>12</v>
      </c>
      <c r="E92" s="9">
        <v>46079</v>
      </c>
      <c r="F92" s="11">
        <v>46108</v>
      </c>
      <c r="G92">
        <v>83532</v>
      </c>
      <c r="H92">
        <v>2989</v>
      </c>
      <c r="I92">
        <v>159</v>
      </c>
      <c r="J92">
        <v>60</v>
      </c>
      <c r="K92" s="5">
        <v>5066.54</v>
      </c>
      <c r="L92" s="5">
        <v>10687.01</v>
      </c>
      <c r="M92" s="2">
        <f>IF(tbl_campaigns[[#This Row],[Impressions]]=0,0,tbl_campaigns[[#This Row],[Clicks]]/tbl_campaigns[[#This Row],[Impressions]])</f>
        <v>3.578269405736724E-2</v>
      </c>
      <c r="N92" s="2">
        <f>IF(tbl_campaigns[[#This Row],[Clicks]]=0,0,tbl_campaigns[[#This Row],[Conversions]]/tbl_campaigns[[#This Row],[Clicks]])</f>
        <v>2.0073603211776515E-2</v>
      </c>
      <c r="O92" s="2">
        <f>IF(tbl_campaigns[[#This Row],[Leads]]=0,0,tbl_campaigns[[#This Row],[Spend]]/tbl_campaigns[[#This Row],[Leads]])</f>
        <v>31.865031446540879</v>
      </c>
      <c r="P92" s="2">
        <f>IF(tbl_campaigns[[#This Row],[Spend]]=0,0,(tbl_campaigns[[#This Row],[Revenue]]-tbl_campaigns[[#This Row],[Spend]]) / tbl_campaigns[[#This Row],[Spend]])</f>
        <v>1.109331022749253</v>
      </c>
      <c r="Q92"/>
      <c r="R92"/>
    </row>
    <row r="93" spans="1:18" x14ac:dyDescent="0.25">
      <c r="A93" t="s">
        <v>120</v>
      </c>
      <c r="B93" t="s">
        <v>34</v>
      </c>
      <c r="C93" t="s">
        <v>24</v>
      </c>
      <c r="D93" t="s">
        <v>26</v>
      </c>
      <c r="E93" s="9">
        <v>46093</v>
      </c>
      <c r="F93" s="11">
        <v>46113</v>
      </c>
      <c r="G93">
        <v>32217</v>
      </c>
      <c r="H93">
        <v>1920</v>
      </c>
      <c r="I93">
        <v>216</v>
      </c>
      <c r="J93">
        <v>79</v>
      </c>
      <c r="K93" s="5">
        <v>7602.96</v>
      </c>
      <c r="L93" s="5">
        <v>27836.69</v>
      </c>
      <c r="M93" s="2">
        <f>IF(tbl_campaigns[[#This Row],[Impressions]]=0,0,tbl_campaigns[[#This Row],[Clicks]]/tbl_campaigns[[#This Row],[Impressions]])</f>
        <v>5.9595865536828385E-2</v>
      </c>
      <c r="N93" s="2">
        <f>IF(tbl_campaigns[[#This Row],[Clicks]]=0,0,tbl_campaigns[[#This Row],[Conversions]]/tbl_campaigns[[#This Row],[Clicks]])</f>
        <v>4.1145833333333333E-2</v>
      </c>
      <c r="O93" s="2">
        <f>IF(tbl_campaigns[[#This Row],[Leads]]=0,0,tbl_campaigns[[#This Row],[Spend]]/tbl_campaigns[[#This Row],[Leads]])</f>
        <v>35.198888888888888</v>
      </c>
      <c r="P93" s="2">
        <f>IF(tbl_campaigns[[#This Row],[Spend]]=0,0,(tbl_campaigns[[#This Row],[Revenue]]-tbl_campaigns[[#This Row],[Spend]]) / tbl_campaigns[[#This Row],[Spend]])</f>
        <v>2.66129638982712</v>
      </c>
      <c r="Q93"/>
      <c r="R93"/>
    </row>
    <row r="94" spans="1:18" x14ac:dyDescent="0.25">
      <c r="A94" t="s">
        <v>121</v>
      </c>
      <c r="B94" t="s">
        <v>34</v>
      </c>
      <c r="C94" t="s">
        <v>37</v>
      </c>
      <c r="D94" t="s">
        <v>12</v>
      </c>
      <c r="E94" s="9">
        <v>46088</v>
      </c>
      <c r="F94" s="11">
        <v>46117</v>
      </c>
      <c r="G94">
        <v>55838</v>
      </c>
      <c r="H94">
        <v>4403</v>
      </c>
      <c r="I94">
        <v>1088</v>
      </c>
      <c r="J94">
        <v>503</v>
      </c>
      <c r="K94" s="5">
        <v>2327.98</v>
      </c>
      <c r="L94" s="5">
        <v>7670.25</v>
      </c>
      <c r="M94" s="2">
        <f>IF(tbl_campaigns[[#This Row],[Impressions]]=0,0,tbl_campaigns[[#This Row],[Clicks]]/tbl_campaigns[[#This Row],[Impressions]])</f>
        <v>7.8853110784770225E-2</v>
      </c>
      <c r="N94" s="2">
        <f>IF(tbl_campaigns[[#This Row],[Clicks]]=0,0,tbl_campaigns[[#This Row],[Conversions]]/tbl_campaigns[[#This Row],[Clicks]])</f>
        <v>0.11424029071087895</v>
      </c>
      <c r="O94" s="2">
        <f>IF(tbl_campaigns[[#This Row],[Leads]]=0,0,tbl_campaigns[[#This Row],[Spend]]/tbl_campaigns[[#This Row],[Leads]])</f>
        <v>2.1396875</v>
      </c>
      <c r="P94" s="2">
        <f>IF(tbl_campaigns[[#This Row],[Spend]]=0,0,(tbl_campaigns[[#This Row],[Revenue]]-tbl_campaigns[[#This Row],[Spend]]) / tbl_campaigns[[#This Row],[Spend]])</f>
        <v>2.294809233756304</v>
      </c>
      <c r="Q94"/>
      <c r="R94"/>
    </row>
    <row r="95" spans="1:18" x14ac:dyDescent="0.25">
      <c r="A95" t="s">
        <v>122</v>
      </c>
      <c r="B95" t="s">
        <v>36</v>
      </c>
      <c r="C95" t="s">
        <v>14</v>
      </c>
      <c r="D95" t="s">
        <v>15</v>
      </c>
      <c r="E95" s="9">
        <v>46133</v>
      </c>
      <c r="F95" s="11">
        <v>46142</v>
      </c>
      <c r="G95">
        <v>56208</v>
      </c>
      <c r="H95">
        <v>4399</v>
      </c>
      <c r="I95">
        <v>796</v>
      </c>
      <c r="J95">
        <v>279</v>
      </c>
      <c r="K95" s="5">
        <v>2503.79</v>
      </c>
      <c r="L95" s="5">
        <v>3028.95</v>
      </c>
      <c r="M95" s="2">
        <f>IF(tbl_campaigns[[#This Row],[Impressions]]=0,0,tbl_campaigns[[#This Row],[Clicks]]/tbl_campaigns[[#This Row],[Impressions]])</f>
        <v>7.8262880728721895E-2</v>
      </c>
      <c r="N95" s="2">
        <f>IF(tbl_campaigns[[#This Row],[Clicks]]=0,0,tbl_campaigns[[#This Row],[Conversions]]/tbl_campaigns[[#This Row],[Clicks]])</f>
        <v>6.342350534212321E-2</v>
      </c>
      <c r="O95" s="2">
        <f>IF(tbl_campaigns[[#This Row],[Leads]]=0,0,tbl_campaigns[[#This Row],[Spend]]/tbl_campaigns[[#This Row],[Leads]])</f>
        <v>3.1454648241206029</v>
      </c>
      <c r="P95" s="2">
        <f>IF(tbl_campaigns[[#This Row],[Spend]]=0,0,(tbl_campaigns[[#This Row],[Revenue]]-tbl_campaigns[[#This Row],[Spend]]) / tbl_campaigns[[#This Row],[Spend]])</f>
        <v>0.20974602502606043</v>
      </c>
      <c r="Q95"/>
      <c r="R95"/>
    </row>
    <row r="96" spans="1:18" x14ac:dyDescent="0.25">
      <c r="A96" t="s">
        <v>123</v>
      </c>
      <c r="B96" t="s">
        <v>39</v>
      </c>
      <c r="C96" t="s">
        <v>21</v>
      </c>
      <c r="D96" t="s">
        <v>18</v>
      </c>
      <c r="E96" s="9">
        <v>46133</v>
      </c>
      <c r="F96" s="11">
        <v>46144</v>
      </c>
      <c r="G96">
        <v>78529</v>
      </c>
      <c r="H96">
        <v>8935</v>
      </c>
      <c r="I96">
        <v>1513</v>
      </c>
      <c r="J96">
        <v>360</v>
      </c>
      <c r="K96" s="5">
        <v>4639.38</v>
      </c>
      <c r="L96" s="5">
        <v>15147.73</v>
      </c>
      <c r="M96" s="2">
        <f>IF(tbl_campaigns[[#This Row],[Impressions]]=0,0,tbl_campaigns[[#This Row],[Clicks]]/tbl_campaigns[[#This Row],[Impressions]])</f>
        <v>0.11377962281450164</v>
      </c>
      <c r="N96" s="2">
        <f>IF(tbl_campaigns[[#This Row],[Clicks]]=0,0,tbl_campaigns[[#This Row],[Conversions]]/tbl_campaigns[[#This Row],[Clicks]])</f>
        <v>4.0290990486849469E-2</v>
      </c>
      <c r="O96" s="2">
        <f>IF(tbl_campaigns[[#This Row],[Leads]]=0,0,tbl_campaigns[[#This Row],[Spend]]/tbl_campaigns[[#This Row],[Leads]])</f>
        <v>3.0663450099140781</v>
      </c>
      <c r="P96" s="2">
        <f>IF(tbl_campaigns[[#This Row],[Spend]]=0,0,(tbl_campaigns[[#This Row],[Revenue]]-tbl_campaigns[[#This Row],[Spend]]) / tbl_campaigns[[#This Row],[Spend]])</f>
        <v>2.2650332587544022</v>
      </c>
      <c r="Q96"/>
      <c r="R96"/>
    </row>
    <row r="97" spans="1:18" x14ac:dyDescent="0.25">
      <c r="A97" t="s">
        <v>124</v>
      </c>
      <c r="B97" t="s">
        <v>53</v>
      </c>
      <c r="C97" t="s">
        <v>24</v>
      </c>
      <c r="D97" t="s">
        <v>15</v>
      </c>
      <c r="E97" s="9">
        <v>46112</v>
      </c>
      <c r="F97" s="11">
        <v>46126</v>
      </c>
      <c r="G97">
        <v>94946</v>
      </c>
      <c r="H97">
        <v>7274</v>
      </c>
      <c r="I97">
        <v>1056</v>
      </c>
      <c r="J97">
        <v>458</v>
      </c>
      <c r="K97" s="5">
        <v>6316.58</v>
      </c>
      <c r="L97" s="5">
        <v>8627.56</v>
      </c>
      <c r="M97" s="2">
        <f>IF(tbl_campaigns[[#This Row],[Impressions]]=0,0,tbl_campaigns[[#This Row],[Clicks]]/tbl_campaigns[[#This Row],[Impressions]])</f>
        <v>7.6611968908642802E-2</v>
      </c>
      <c r="N97" s="2">
        <f>IF(tbl_campaigns[[#This Row],[Clicks]]=0,0,tbl_campaigns[[#This Row],[Conversions]]/tbl_campaigns[[#This Row],[Clicks]])</f>
        <v>6.2963981303271924E-2</v>
      </c>
      <c r="O97" s="2">
        <f>IF(tbl_campaigns[[#This Row],[Leads]]=0,0,tbl_campaigns[[#This Row],[Spend]]/tbl_campaigns[[#This Row],[Leads]])</f>
        <v>5.9816098484848483</v>
      </c>
      <c r="P97" s="2">
        <f>IF(tbl_campaigns[[#This Row],[Spend]]=0,0,(tbl_campaigns[[#This Row],[Revenue]]-tbl_campaigns[[#This Row],[Spend]]) / tbl_campaigns[[#This Row],[Spend]])</f>
        <v>0.36585937326844581</v>
      </c>
      <c r="Q97"/>
      <c r="R97"/>
    </row>
    <row r="98" spans="1:18" x14ac:dyDescent="0.25">
      <c r="A98" t="s">
        <v>125</v>
      </c>
      <c r="B98" t="s">
        <v>53</v>
      </c>
      <c r="C98" t="s">
        <v>31</v>
      </c>
      <c r="D98" t="s">
        <v>18</v>
      </c>
      <c r="E98" s="9">
        <v>46072</v>
      </c>
      <c r="F98" s="11">
        <v>46100</v>
      </c>
      <c r="G98">
        <v>105461</v>
      </c>
      <c r="H98">
        <v>3492</v>
      </c>
      <c r="I98">
        <v>1114</v>
      </c>
      <c r="J98">
        <v>57</v>
      </c>
      <c r="K98" s="5">
        <v>1446.85</v>
      </c>
      <c r="L98" s="5">
        <v>7043.76</v>
      </c>
      <c r="M98" s="2">
        <f>IF(tbl_campaigns[[#This Row],[Impressions]]=0,0,tbl_campaigns[[#This Row],[Clicks]]/tbl_campaigns[[#This Row],[Impressions]])</f>
        <v>3.3111766434985444E-2</v>
      </c>
      <c r="N98" s="2">
        <f>IF(tbl_campaigns[[#This Row],[Clicks]]=0,0,tbl_campaigns[[#This Row],[Conversions]]/tbl_campaigns[[#This Row],[Clicks]])</f>
        <v>1.6323024054982819E-2</v>
      </c>
      <c r="O98" s="2">
        <f>IF(tbl_campaigns[[#This Row],[Leads]]=0,0,tbl_campaigns[[#This Row],[Spend]]/tbl_campaigns[[#This Row],[Leads]])</f>
        <v>1.2987881508078993</v>
      </c>
      <c r="P98" s="2">
        <f>IF(tbl_campaigns[[#This Row],[Spend]]=0,0,(tbl_campaigns[[#This Row],[Revenue]]-tbl_campaigns[[#This Row],[Spend]]) / tbl_campaigns[[#This Row],[Spend]])</f>
        <v>3.8683415696167538</v>
      </c>
      <c r="Q98"/>
      <c r="R98"/>
    </row>
    <row r="99" spans="1:18" x14ac:dyDescent="0.25">
      <c r="A99" t="s">
        <v>126</v>
      </c>
      <c r="B99" t="s">
        <v>20</v>
      </c>
      <c r="C99" t="s">
        <v>11</v>
      </c>
      <c r="D99" t="s">
        <v>18</v>
      </c>
      <c r="E99" s="9">
        <v>46035</v>
      </c>
      <c r="F99" s="11">
        <v>46058</v>
      </c>
      <c r="G99">
        <v>79890</v>
      </c>
      <c r="H99">
        <v>1251</v>
      </c>
      <c r="I99">
        <v>469</v>
      </c>
      <c r="J99">
        <v>56</v>
      </c>
      <c r="K99" s="5">
        <v>3574.84</v>
      </c>
      <c r="L99" s="5">
        <v>13184.61</v>
      </c>
      <c r="M99" s="2">
        <f>IF(tbl_campaigns[[#This Row],[Impressions]]=0,0,tbl_campaigns[[#This Row],[Clicks]]/tbl_campaigns[[#This Row],[Impressions]])</f>
        <v>1.5659031167855803E-2</v>
      </c>
      <c r="N99" s="2">
        <f>IF(tbl_campaigns[[#This Row],[Clicks]]=0,0,tbl_campaigns[[#This Row],[Conversions]]/tbl_campaigns[[#This Row],[Clicks]])</f>
        <v>4.4764188649080737E-2</v>
      </c>
      <c r="O99" s="2">
        <f>IF(tbl_campaigns[[#This Row],[Leads]]=0,0,tbl_campaigns[[#This Row],[Spend]]/tbl_campaigns[[#This Row],[Leads]])</f>
        <v>7.6222601279317699</v>
      </c>
      <c r="P99" s="2">
        <f>IF(tbl_campaigns[[#This Row],[Spend]]=0,0,(tbl_campaigns[[#This Row],[Revenue]]-tbl_campaigns[[#This Row],[Spend]]) / tbl_campaigns[[#This Row],[Spend]])</f>
        <v>2.6881678620581622</v>
      </c>
      <c r="Q99"/>
      <c r="R99"/>
    </row>
    <row r="100" spans="1:18" x14ac:dyDescent="0.25">
      <c r="A100" t="s">
        <v>127</v>
      </c>
      <c r="B100" t="s">
        <v>34</v>
      </c>
      <c r="C100" t="s">
        <v>11</v>
      </c>
      <c r="D100" t="s">
        <v>18</v>
      </c>
      <c r="E100" s="9">
        <v>46123</v>
      </c>
      <c r="F100" s="11">
        <v>46138</v>
      </c>
      <c r="G100">
        <v>64375</v>
      </c>
      <c r="H100">
        <v>6105</v>
      </c>
      <c r="I100">
        <v>1728</v>
      </c>
      <c r="J100">
        <v>685</v>
      </c>
      <c r="K100" s="5">
        <v>1102.3599999999999</v>
      </c>
      <c r="L100" s="5">
        <v>2699.18</v>
      </c>
      <c r="M100" s="2">
        <f>IF(tbl_campaigns[[#This Row],[Impressions]]=0,0,tbl_campaigns[[#This Row],[Clicks]]/tbl_campaigns[[#This Row],[Impressions]])</f>
        <v>9.4834951456310684E-2</v>
      </c>
      <c r="N100" s="2">
        <f>IF(tbl_campaigns[[#This Row],[Clicks]]=0,0,tbl_campaigns[[#This Row],[Conversions]]/tbl_campaigns[[#This Row],[Clicks]])</f>
        <v>0.1122031122031122</v>
      </c>
      <c r="O100" s="2">
        <f>IF(tbl_campaigns[[#This Row],[Leads]]=0,0,tbl_campaigns[[#This Row],[Spend]]/tbl_campaigns[[#This Row],[Leads]])</f>
        <v>0.63793981481481477</v>
      </c>
      <c r="P100" s="2">
        <f>IF(tbl_campaigns[[#This Row],[Spend]]=0,0,(tbl_campaigns[[#This Row],[Revenue]]-tbl_campaigns[[#This Row],[Spend]]) / tbl_campaigns[[#This Row],[Spend]])</f>
        <v>1.4485467542363657</v>
      </c>
      <c r="Q100"/>
      <c r="R100"/>
    </row>
    <row r="101" spans="1:18" x14ac:dyDescent="0.25">
      <c r="A101" t="s">
        <v>128</v>
      </c>
      <c r="B101" t="s">
        <v>23</v>
      </c>
      <c r="C101" t="s">
        <v>37</v>
      </c>
      <c r="D101" t="s">
        <v>12</v>
      </c>
      <c r="E101" s="9">
        <v>46103</v>
      </c>
      <c r="F101" s="11">
        <v>46132</v>
      </c>
      <c r="G101">
        <v>119536</v>
      </c>
      <c r="H101">
        <v>8994</v>
      </c>
      <c r="I101">
        <v>2316</v>
      </c>
      <c r="J101">
        <v>93</v>
      </c>
      <c r="K101" s="5">
        <v>5130.95</v>
      </c>
      <c r="L101" s="5">
        <v>10734.6</v>
      </c>
      <c r="M101" s="2">
        <f>IF(tbl_campaigns[[#This Row],[Impressions]]=0,0,tbl_campaigns[[#This Row],[Clicks]]/tbl_campaigns[[#This Row],[Impressions]])</f>
        <v>7.5240931602195152E-2</v>
      </c>
      <c r="N101" s="2">
        <f>IF(tbl_campaigns[[#This Row],[Clicks]]=0,0,tbl_campaigns[[#This Row],[Conversions]]/tbl_campaigns[[#This Row],[Clicks]])</f>
        <v>1.0340226817878585E-2</v>
      </c>
      <c r="O101" s="2">
        <f>IF(tbl_campaigns[[#This Row],[Leads]]=0,0,tbl_campaigns[[#This Row],[Spend]]/tbl_campaigns[[#This Row],[Leads]])</f>
        <v>2.2154360967184799</v>
      </c>
      <c r="P101" s="2">
        <f>IF(tbl_campaigns[[#This Row],[Spend]]=0,0,(tbl_campaigns[[#This Row],[Revenue]]-tbl_campaigns[[#This Row],[Spend]]) / tbl_campaigns[[#This Row],[Spend]])</f>
        <v>1.0921271889221296</v>
      </c>
      <c r="Q101"/>
      <c r="R101"/>
    </row>
  </sheetData>
  <phoneticPr fontId="3"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AC35-544A-4015-9F99-8A85B06A787E}">
  <dimension ref="B1:V13"/>
  <sheetViews>
    <sheetView showGridLines="0" topLeftCell="C1" workbookViewId="0">
      <selection activeCell="O29" sqref="O29"/>
    </sheetView>
  </sheetViews>
  <sheetFormatPr defaultRowHeight="15" x14ac:dyDescent="0.25"/>
  <cols>
    <col min="1" max="1" width="4.85546875" style="13" customWidth="1"/>
    <col min="2" max="2" width="15.42578125" style="13" bestFit="1" customWidth="1"/>
    <col min="3" max="3" width="13.28515625" style="13" bestFit="1" customWidth="1"/>
    <col min="4" max="4" width="13.42578125" style="13" bestFit="1" customWidth="1"/>
    <col min="5" max="5" width="8.140625" style="13" customWidth="1"/>
    <col min="6" max="6" width="7.140625" style="13" bestFit="1" customWidth="1"/>
    <col min="7" max="7" width="4.140625" style="13" customWidth="1"/>
    <col min="8" max="8" width="11.140625" style="13" customWidth="1"/>
    <col min="9" max="9" width="13.28515625" style="13" customWidth="1"/>
    <col min="10" max="10" width="15.5703125" style="13" bestFit="1" customWidth="1"/>
    <col min="11" max="12" width="6.42578125" style="13" customWidth="1"/>
    <col min="13" max="13" width="15.42578125" style="13" bestFit="1" customWidth="1"/>
    <col min="14" max="14" width="13.42578125" style="13" bestFit="1" customWidth="1"/>
    <col min="15" max="15" width="13.28515625" style="13" bestFit="1" customWidth="1"/>
    <col min="16" max="16" width="6.5703125" style="13" bestFit="1" customWidth="1"/>
    <col min="17" max="17" width="4.85546875" style="13" customWidth="1"/>
    <col min="18" max="18" width="9.140625" style="13"/>
    <col min="19" max="19" width="7.7109375" style="13" customWidth="1"/>
    <col min="20" max="20" width="15.5703125" style="13" customWidth="1"/>
    <col min="21" max="21" width="14.140625" style="13" customWidth="1"/>
    <col min="22" max="22" width="6.5703125" style="13" customWidth="1"/>
    <col min="23" max="16384" width="9.140625" style="13"/>
  </cols>
  <sheetData>
    <row r="1" spans="2:22" ht="21" x14ac:dyDescent="0.35">
      <c r="B1" s="17" t="s">
        <v>143</v>
      </c>
      <c r="C1" s="17"/>
      <c r="D1" s="17"/>
      <c r="E1" s="17"/>
      <c r="F1" s="17"/>
      <c r="H1" s="25" t="s">
        <v>144</v>
      </c>
      <c r="I1" s="26"/>
      <c r="J1" s="26"/>
      <c r="K1" s="27"/>
      <c r="L1" s="14"/>
      <c r="M1" s="17" t="s">
        <v>147</v>
      </c>
      <c r="N1" s="17"/>
      <c r="O1" s="17"/>
      <c r="P1" s="17"/>
      <c r="R1" s="17" t="s">
        <v>146</v>
      </c>
      <c r="S1" s="17"/>
      <c r="T1" s="17"/>
      <c r="U1" s="17"/>
      <c r="V1" s="17"/>
    </row>
    <row r="2" spans="2:22" ht="90" x14ac:dyDescent="0.25">
      <c r="B2" s="18" t="s">
        <v>0</v>
      </c>
      <c r="C2" s="18" t="s">
        <v>138</v>
      </c>
      <c r="D2" s="19" t="s">
        <v>139</v>
      </c>
      <c r="E2" s="19" t="s">
        <v>140</v>
      </c>
      <c r="F2" s="19" t="s">
        <v>142</v>
      </c>
      <c r="G2" s="15"/>
      <c r="H2" s="18" t="s">
        <v>1</v>
      </c>
      <c r="I2" s="18" t="s">
        <v>138</v>
      </c>
      <c r="J2" s="18" t="s">
        <v>139</v>
      </c>
      <c r="K2" s="19" t="s">
        <v>145</v>
      </c>
      <c r="L2" s="15"/>
      <c r="M2" s="18" t="s">
        <v>148</v>
      </c>
      <c r="N2" s="19" t="s">
        <v>139</v>
      </c>
      <c r="O2" s="19" t="s">
        <v>138</v>
      </c>
      <c r="P2" s="19" t="s">
        <v>140</v>
      </c>
      <c r="R2" s="19" t="s">
        <v>135</v>
      </c>
      <c r="S2" s="19" t="s">
        <v>141</v>
      </c>
      <c r="T2" s="18" t="s">
        <v>139</v>
      </c>
      <c r="U2" s="18" t="s">
        <v>138</v>
      </c>
      <c r="V2" s="19" t="s">
        <v>145</v>
      </c>
    </row>
    <row r="3" spans="2:22" x14ac:dyDescent="0.25">
      <c r="B3" s="20" t="s">
        <v>21</v>
      </c>
      <c r="C3" s="21">
        <v>93270.45</v>
      </c>
      <c r="D3" s="22">
        <v>318022.06</v>
      </c>
      <c r="E3" s="23">
        <v>5180</v>
      </c>
      <c r="F3" s="24">
        <v>2.4180254024660037</v>
      </c>
      <c r="H3" s="20" t="s">
        <v>12</v>
      </c>
      <c r="I3" s="21">
        <v>110678.96999999997</v>
      </c>
      <c r="J3" s="21">
        <v>312238.61</v>
      </c>
      <c r="K3" s="24">
        <v>1.4363433814814763</v>
      </c>
      <c r="M3" s="28" t="s">
        <v>149</v>
      </c>
      <c r="N3" s="29">
        <v>261740.30000000005</v>
      </c>
      <c r="O3" s="30">
        <v>85346.169999999984</v>
      </c>
      <c r="P3" s="31">
        <v>4673</v>
      </c>
      <c r="R3" s="20" t="s">
        <v>23</v>
      </c>
      <c r="S3" s="24">
        <v>19.383806651467324</v>
      </c>
      <c r="T3" s="21">
        <v>146416.67000000001</v>
      </c>
      <c r="U3" s="21">
        <v>47410.51</v>
      </c>
      <c r="V3" s="24">
        <v>0.49551961566208363</v>
      </c>
    </row>
    <row r="4" spans="2:22" x14ac:dyDescent="0.25">
      <c r="B4" s="20" t="s">
        <v>11</v>
      </c>
      <c r="C4" s="21">
        <v>53512.92</v>
      </c>
      <c r="D4" s="22">
        <v>149837.74999999994</v>
      </c>
      <c r="E4" s="23">
        <v>2835</v>
      </c>
      <c r="F4" s="24">
        <v>1.8285051787282462</v>
      </c>
      <c r="H4" s="20" t="s">
        <v>26</v>
      </c>
      <c r="I4" s="21">
        <v>115964.69000000002</v>
      </c>
      <c r="J4" s="21">
        <v>365663.29000000004</v>
      </c>
      <c r="K4" s="24">
        <v>1.3592023157758792</v>
      </c>
      <c r="M4" s="28" t="s">
        <v>150</v>
      </c>
      <c r="N4" s="29">
        <v>265215.65000000002</v>
      </c>
      <c r="O4" s="30">
        <v>92801.879999999961</v>
      </c>
      <c r="P4" s="31">
        <v>6737</v>
      </c>
      <c r="R4" s="20" t="s">
        <v>34</v>
      </c>
      <c r="S4" s="24">
        <v>25.135301113778144</v>
      </c>
      <c r="T4" s="21">
        <v>157668.68</v>
      </c>
      <c r="U4" s="21">
        <v>49095.51</v>
      </c>
      <c r="V4" s="24">
        <v>0.69006678246527231</v>
      </c>
    </row>
    <row r="5" spans="2:22" x14ac:dyDescent="0.25">
      <c r="B5" s="20" t="s">
        <v>14</v>
      </c>
      <c r="C5" s="21">
        <v>86304.329999999987</v>
      </c>
      <c r="D5" s="22">
        <v>259134.30000000005</v>
      </c>
      <c r="E5" s="23">
        <v>5731</v>
      </c>
      <c r="F5" s="24">
        <v>1.8784291084717302</v>
      </c>
      <c r="H5" s="20" t="s">
        <v>15</v>
      </c>
      <c r="I5" s="21">
        <v>101293.70000000001</v>
      </c>
      <c r="J5" s="21">
        <v>310639.24</v>
      </c>
      <c r="K5" s="24">
        <v>1.4385108836054656</v>
      </c>
      <c r="M5" s="28" t="s">
        <v>151</v>
      </c>
      <c r="N5" s="29">
        <v>382294.61</v>
      </c>
      <c r="O5" s="30">
        <v>119745.70000000001</v>
      </c>
      <c r="P5" s="31">
        <v>8130</v>
      </c>
      <c r="R5" s="20" t="s">
        <v>53</v>
      </c>
      <c r="S5" s="24">
        <v>19.915246840845317</v>
      </c>
      <c r="T5" s="21">
        <v>72702.159999999989</v>
      </c>
      <c r="U5" s="21">
        <v>26170.259999999995</v>
      </c>
      <c r="V5" s="24">
        <v>0.180727429149275</v>
      </c>
    </row>
    <row r="6" spans="2:22" x14ac:dyDescent="0.25">
      <c r="B6" s="20" t="s">
        <v>24</v>
      </c>
      <c r="C6" s="21">
        <v>65478.8</v>
      </c>
      <c r="D6" s="22">
        <v>183729.85</v>
      </c>
      <c r="E6" s="23">
        <v>4798</v>
      </c>
      <c r="F6" s="24">
        <v>1.9197070169023769</v>
      </c>
      <c r="H6" s="20" t="s">
        <v>18</v>
      </c>
      <c r="I6" s="21">
        <v>86325.69</v>
      </c>
      <c r="J6" s="21">
        <v>275483.86</v>
      </c>
      <c r="K6" s="24">
        <v>1.4418863655653391</v>
      </c>
      <c r="M6" s="32" t="s">
        <v>152</v>
      </c>
      <c r="N6" s="29">
        <v>354774.44</v>
      </c>
      <c r="O6" s="30">
        <v>116369.3</v>
      </c>
      <c r="P6" s="31">
        <v>6156</v>
      </c>
      <c r="R6" s="20" t="s">
        <v>45</v>
      </c>
      <c r="S6" s="24">
        <v>11.788221910145099</v>
      </c>
      <c r="T6" s="21">
        <v>101773.84</v>
      </c>
      <c r="U6" s="21">
        <v>40002.689999999995</v>
      </c>
      <c r="V6" s="24">
        <v>0.59611332459795441</v>
      </c>
    </row>
    <row r="7" spans="2:22" x14ac:dyDescent="0.25">
      <c r="B7" s="20" t="s">
        <v>37</v>
      </c>
      <c r="C7" s="21">
        <v>79549.919999999984</v>
      </c>
      <c r="D7" s="22">
        <v>213174.52000000002</v>
      </c>
      <c r="E7" s="23">
        <v>3720</v>
      </c>
      <c r="F7" s="24">
        <v>1.8058006532697342</v>
      </c>
      <c r="H7" s="20" t="s">
        <v>137</v>
      </c>
      <c r="I7" s="21">
        <v>414263.05</v>
      </c>
      <c r="J7" s="21">
        <v>1264025</v>
      </c>
      <c r="K7" s="24">
        <v>5.6759429464281608</v>
      </c>
      <c r="M7" s="32" t="s">
        <v>137</v>
      </c>
      <c r="N7" s="33">
        <v>1264025</v>
      </c>
      <c r="O7" s="34">
        <v>414263.04999999993</v>
      </c>
      <c r="P7" s="35">
        <v>25696</v>
      </c>
      <c r="R7" s="20" t="s">
        <v>30</v>
      </c>
      <c r="S7" s="24">
        <v>23.717323880483224</v>
      </c>
      <c r="T7" s="21">
        <v>143092.13999999998</v>
      </c>
      <c r="U7" s="21">
        <v>39488.479999999996</v>
      </c>
      <c r="V7" s="24">
        <v>0.67977418377818688</v>
      </c>
    </row>
    <row r="8" spans="2:22" x14ac:dyDescent="0.25">
      <c r="B8" s="20" t="s">
        <v>31</v>
      </c>
      <c r="C8" s="21">
        <v>36146.629999999997</v>
      </c>
      <c r="D8" s="22">
        <v>140126.52000000002</v>
      </c>
      <c r="E8" s="23">
        <v>3432</v>
      </c>
      <c r="F8" s="24">
        <v>2.6467610171826448</v>
      </c>
      <c r="R8" s="20" t="s">
        <v>36</v>
      </c>
      <c r="S8" s="24">
        <v>17.614329241168758</v>
      </c>
      <c r="T8" s="21">
        <v>119159.09</v>
      </c>
      <c r="U8" s="21">
        <v>37702.130000000005</v>
      </c>
      <c r="V8" s="24">
        <v>0.51899289523792325</v>
      </c>
    </row>
    <row r="9" spans="2:22" x14ac:dyDescent="0.25">
      <c r="B9" s="20" t="s">
        <v>137</v>
      </c>
      <c r="C9" s="21">
        <v>414263.04999999981</v>
      </c>
      <c r="D9" s="22">
        <v>1264024.9999999998</v>
      </c>
      <c r="E9" s="23">
        <v>25696</v>
      </c>
      <c r="F9" s="24">
        <v>2.0504085245172887</v>
      </c>
      <c r="R9" s="20" t="s">
        <v>39</v>
      </c>
      <c r="S9" s="24">
        <v>34.953809445333775</v>
      </c>
      <c r="T9" s="21">
        <v>205679.52000000002</v>
      </c>
      <c r="U9" s="21">
        <v>51598.359999999993</v>
      </c>
      <c r="V9" s="24">
        <v>0.64799145148365911</v>
      </c>
    </row>
    <row r="10" spans="2:22" x14ac:dyDescent="0.25">
      <c r="R10" s="20" t="s">
        <v>20</v>
      </c>
      <c r="S10" s="24">
        <v>12.37694162983737</v>
      </c>
      <c r="T10" s="21">
        <v>93581.27</v>
      </c>
      <c r="U10" s="21">
        <v>39736.539999999994</v>
      </c>
      <c r="V10" s="24">
        <v>0.51531480218967063</v>
      </c>
    </row>
    <row r="11" spans="2:22" x14ac:dyDescent="0.25">
      <c r="R11" s="20" t="s">
        <v>17</v>
      </c>
      <c r="S11" s="24">
        <v>12.386165809031953</v>
      </c>
      <c r="T11" s="21">
        <v>69145.850000000006</v>
      </c>
      <c r="U11" s="21">
        <v>20783.61</v>
      </c>
      <c r="V11" s="24">
        <v>0.42886399085093452</v>
      </c>
    </row>
    <row r="12" spans="2:22" ht="15.75" customHeight="1" x14ac:dyDescent="0.35">
      <c r="F12" s="16"/>
      <c r="R12" s="36" t="s">
        <v>10</v>
      </c>
      <c r="S12" s="24">
        <v>27.769705929637936</v>
      </c>
      <c r="T12" s="21">
        <v>154805.78</v>
      </c>
      <c r="U12" s="21">
        <v>62274.96</v>
      </c>
      <c r="V12" s="24">
        <v>0.92257847101320078</v>
      </c>
    </row>
    <row r="13" spans="2:22" x14ac:dyDescent="0.25">
      <c r="R13" s="20" t="s">
        <v>137</v>
      </c>
      <c r="S13" s="24">
        <v>205.04085245172888</v>
      </c>
      <c r="T13" s="21">
        <v>1264025</v>
      </c>
      <c r="U13" s="21">
        <v>414263.05</v>
      </c>
      <c r="V13" s="24">
        <v>5.6759429464281599</v>
      </c>
    </row>
  </sheetData>
  <mergeCells count="4">
    <mergeCell ref="B1:F1"/>
    <mergeCell ref="H1:K1"/>
    <mergeCell ref="M1:P1"/>
    <mergeCell ref="R1:V1"/>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2A9E2-F167-4425-A0A1-63AF237854A1}">
  <dimension ref="A1:C11"/>
  <sheetViews>
    <sheetView workbookViewId="0">
      <selection activeCell="B7" sqref="B7"/>
    </sheetView>
  </sheetViews>
  <sheetFormatPr defaultRowHeight="15" x14ac:dyDescent="0.25"/>
  <cols>
    <col min="1" max="1" width="21.85546875" customWidth="1"/>
    <col min="2" max="2" width="23.28515625" customWidth="1"/>
    <col min="3" max="3" width="19.5703125" customWidth="1"/>
  </cols>
  <sheetData>
    <row r="1" spans="1:3" x14ac:dyDescent="0.25">
      <c r="A1" t="s">
        <v>156</v>
      </c>
      <c r="C1" t="s">
        <v>156</v>
      </c>
    </row>
    <row r="2" spans="1:3" x14ac:dyDescent="0.25">
      <c r="A2" t="str" cm="1">
        <f t="array" ref="A2:A11">_xlfn.UNIQUE(tbl_campaigns[Campaign Name])</f>
        <v>Winter Offer</v>
      </c>
      <c r="B2" t="s">
        <v>30</v>
      </c>
      <c r="C2" t="s">
        <v>10</v>
      </c>
    </row>
    <row r="3" spans="1:3" x14ac:dyDescent="0.25">
      <c r="A3" t="str">
        <v>Summer Sale</v>
      </c>
    </row>
    <row r="4" spans="1:3" x14ac:dyDescent="0.25">
      <c r="A4" t="str">
        <v>Product Launch</v>
      </c>
    </row>
    <row r="5" spans="1:3" x14ac:dyDescent="0.25">
      <c r="A5" t="str">
        <v>Back to School</v>
      </c>
    </row>
    <row r="6" spans="1:3" x14ac:dyDescent="0.25">
      <c r="A6" t="str">
        <v>Flash Sale</v>
      </c>
    </row>
    <row r="7" spans="1:3" x14ac:dyDescent="0.25">
      <c r="A7" t="str">
        <v>Brand Awareness</v>
      </c>
    </row>
    <row r="8" spans="1:3" x14ac:dyDescent="0.25">
      <c r="A8" t="str">
        <v>Holiday Campaign</v>
      </c>
    </row>
    <row r="9" spans="1:3" x14ac:dyDescent="0.25">
      <c r="A9" t="str">
        <v>Lead Generation</v>
      </c>
    </row>
    <row r="10" spans="1:3" x14ac:dyDescent="0.25">
      <c r="A10" t="str">
        <v>Festive Blast</v>
      </c>
    </row>
    <row r="11" spans="1:3" x14ac:dyDescent="0.25">
      <c r="A11" t="str">
        <v>Customer Retention</v>
      </c>
    </row>
  </sheetData>
  <dataValidations count="1">
    <dataValidation type="list" allowBlank="1" showInputMessage="1" showErrorMessage="1" sqref="C2 B2" xr:uid="{57D134B6-35D6-4563-A6F7-563A844A741C}">
      <formula1>$A$2:$A$11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2C3B-64B8-44DF-978C-ACA374D50C15}">
  <dimension ref="A1:R19"/>
  <sheetViews>
    <sheetView showGridLines="0" tabSelected="1" zoomScaleNormal="100" workbookViewId="0">
      <selection activeCell="G13" sqref="G13"/>
    </sheetView>
  </sheetViews>
  <sheetFormatPr defaultRowHeight="15" x14ac:dyDescent="0.25"/>
  <cols>
    <col min="2" max="2" width="9.140625" customWidth="1"/>
    <col min="3" max="3" width="8.42578125" customWidth="1"/>
    <col min="4" max="4" width="16.85546875" customWidth="1"/>
    <col min="5" max="5" width="22" customWidth="1"/>
    <col min="6" max="6" width="22.42578125" customWidth="1"/>
    <col min="7" max="7" width="22" customWidth="1"/>
    <col min="8" max="8" width="21.5703125" customWidth="1"/>
    <col min="9" max="9" width="13.28515625" customWidth="1"/>
    <col min="10" max="11" width="11" customWidth="1"/>
    <col min="20" max="20" width="16.7109375" customWidth="1"/>
    <col min="21" max="21" width="11.7109375" customWidth="1"/>
    <col min="22" max="22" width="16.5703125" customWidth="1"/>
  </cols>
  <sheetData>
    <row r="1" spans="1:18" ht="15" customHeight="1" x14ac:dyDescent="0.25">
      <c r="A1" s="53" t="s">
        <v>169</v>
      </c>
      <c r="B1" s="53"/>
      <c r="C1" s="53"/>
      <c r="D1" s="53"/>
      <c r="E1" s="53"/>
      <c r="F1" s="53"/>
      <c r="G1" s="53"/>
      <c r="H1" s="53"/>
      <c r="I1" s="53"/>
      <c r="J1" s="53"/>
      <c r="K1" s="53"/>
      <c r="L1" s="53"/>
      <c r="M1" s="53"/>
      <c r="N1" s="53"/>
      <c r="O1" s="53"/>
      <c r="P1" s="53"/>
      <c r="Q1" s="53"/>
    </row>
    <row r="2" spans="1:18" ht="15" customHeight="1" x14ac:dyDescent="0.25">
      <c r="A2" s="53"/>
      <c r="B2" s="53"/>
      <c r="C2" s="53"/>
      <c r="D2" s="53"/>
      <c r="E2" s="53"/>
      <c r="F2" s="53"/>
      <c r="G2" s="53"/>
      <c r="H2" s="53"/>
      <c r="I2" s="53"/>
      <c r="J2" s="53"/>
      <c r="K2" s="53"/>
      <c r="L2" s="53"/>
      <c r="M2" s="53"/>
      <c r="N2" s="53"/>
      <c r="O2" s="53"/>
      <c r="P2" s="53"/>
      <c r="Q2" s="53"/>
    </row>
    <row r="3" spans="1:18" ht="15" customHeight="1" x14ac:dyDescent="0.25">
      <c r="A3" s="53"/>
      <c r="B3" s="53"/>
      <c r="C3" s="53"/>
      <c r="D3" s="53"/>
      <c r="E3" s="53"/>
      <c r="F3" s="53"/>
      <c r="G3" s="53"/>
      <c r="H3" s="53"/>
      <c r="I3" s="53"/>
      <c r="J3" s="53"/>
      <c r="K3" s="53"/>
      <c r="L3" s="53"/>
      <c r="M3" s="53"/>
      <c r="N3" s="53"/>
      <c r="O3" s="53"/>
      <c r="P3" s="53"/>
      <c r="Q3" s="53"/>
    </row>
    <row r="5" spans="1:18" x14ac:dyDescent="0.25">
      <c r="D5" s="47" t="s">
        <v>161</v>
      </c>
      <c r="E5" s="47"/>
      <c r="F5" s="42" t="s">
        <v>160</v>
      </c>
      <c r="G5" s="50" t="s">
        <v>136</v>
      </c>
      <c r="H5" s="50"/>
      <c r="I5" s="37" t="s">
        <v>167</v>
      </c>
      <c r="J5" s="42" t="s">
        <v>168</v>
      </c>
      <c r="K5" s="38" t="s">
        <v>153</v>
      </c>
      <c r="L5" s="38"/>
      <c r="M5" s="38"/>
      <c r="O5" s="40"/>
      <c r="R5" s="39"/>
    </row>
    <row r="6" spans="1:18" x14ac:dyDescent="0.25">
      <c r="J6" s="40"/>
      <c r="K6" s="40"/>
      <c r="L6" s="40"/>
      <c r="M6" s="40"/>
      <c r="N6" s="40"/>
      <c r="O6" s="40"/>
      <c r="P6" s="40"/>
      <c r="Q6" s="40"/>
      <c r="R6" s="39"/>
    </row>
    <row r="7" spans="1:18" ht="18.75" x14ac:dyDescent="0.25">
      <c r="D7" s="44">
        <f>SUM(tbl_campaigns[Spend])</f>
        <v>414263.0500000001</v>
      </c>
      <c r="E7" s="44"/>
      <c r="F7" s="48">
        <f>SUM(tbl_campaigns[Revenue])</f>
        <v>1264025.0000000002</v>
      </c>
      <c r="G7" s="41">
        <f>SUM(tbl_campaigns[Conversions])</f>
        <v>25696</v>
      </c>
      <c r="I7" s="48">
        <f>(F7-D7)/D7</f>
        <v>2.0512617526472612</v>
      </c>
      <c r="L7" s="44">
        <f>SUM(tbl_campaigns[Conversions])/SUM(tbl_campaigns[Clicks])</f>
        <v>5.3690377688070938E-2</v>
      </c>
      <c r="M7" s="44"/>
      <c r="N7" s="48"/>
      <c r="O7" s="40"/>
      <c r="R7" s="39"/>
    </row>
    <row r="8" spans="1:18" x14ac:dyDescent="0.25">
      <c r="J8" s="39"/>
      <c r="K8" s="39"/>
      <c r="L8" s="39"/>
      <c r="M8" s="39"/>
      <c r="N8" s="39"/>
      <c r="O8" s="39"/>
      <c r="P8" s="39"/>
      <c r="Q8" s="39"/>
      <c r="R8" s="39"/>
    </row>
    <row r="11" spans="1:18" ht="18.75" x14ac:dyDescent="0.3">
      <c r="D11" s="51" t="str">
        <f>"Campaign Comparison: "&amp;E13&amp;" vs "&amp;G13</f>
        <v>Campaign Comparison: Customer Retention vs Lead Generation</v>
      </c>
      <c r="E11" s="51"/>
      <c r="F11" s="51"/>
      <c r="G11" s="51"/>
      <c r="I11" s="45"/>
      <c r="J11" s="45"/>
    </row>
    <row r="13" spans="1:18" x14ac:dyDescent="0.25">
      <c r="C13" s="46"/>
      <c r="D13" s="65" t="s">
        <v>154</v>
      </c>
      <c r="E13" s="55" t="s">
        <v>53</v>
      </c>
      <c r="F13" s="57" t="s">
        <v>170</v>
      </c>
      <c r="G13" s="56" t="s">
        <v>39</v>
      </c>
      <c r="I13" s="43"/>
      <c r="J13" s="49"/>
    </row>
    <row r="14" spans="1:18" x14ac:dyDescent="0.25">
      <c r="J14" s="7"/>
    </row>
    <row r="15" spans="1:18" x14ac:dyDescent="0.25">
      <c r="D15" s="58" t="s">
        <v>157</v>
      </c>
      <c r="E15" s="52" t="s">
        <v>154</v>
      </c>
      <c r="F15" s="52" t="s">
        <v>155</v>
      </c>
      <c r="G15" s="59" t="s">
        <v>166</v>
      </c>
      <c r="I15" s="12"/>
      <c r="J15" s="12"/>
      <c r="K15" s="12"/>
      <c r="L15" s="12"/>
      <c r="M15" s="12"/>
    </row>
    <row r="16" spans="1:18" ht="21.75" customHeight="1" x14ac:dyDescent="0.25">
      <c r="D16" s="60" t="s">
        <v>7</v>
      </c>
      <c r="E16" s="63">
        <f>SUMIFS(tbl_campaigns[Revenue],tbl_campaigns[Campaign Name],E13)</f>
        <v>72702.159999999989</v>
      </c>
      <c r="F16" s="54">
        <f>SUMIFS(tbl_campaigns[Revenue],tbl_campaigns[Campaign Name],G13)</f>
        <v>205679.52000000002</v>
      </c>
      <c r="G16" s="66" t="str">
        <f>IF(D16="Spend",
IF(E16&lt;F16,$D$13,$F$13),
IF(E16&gt;F16,$D$13,$F$13))</f>
        <v xml:space="preserve">                Campaign 2</v>
      </c>
    </row>
    <row r="17" spans="4:7" ht="23.25" customHeight="1" x14ac:dyDescent="0.25">
      <c r="D17" s="60" t="s">
        <v>6</v>
      </c>
      <c r="E17" s="63">
        <f>SUMIFS(tbl_campaigns[Spend],tbl_campaigns[Campaign Name],E13)</f>
        <v>26170.259999999995</v>
      </c>
      <c r="F17" s="54">
        <f>SUMIFS(tbl_campaigns[Spend],tbl_campaigns[Campaign Name],G13)</f>
        <v>51598.359999999993</v>
      </c>
      <c r="G17" s="66" t="str">
        <f>IF(D17="Spend",
IF(E17&lt;F17,$D$13,$F$13),
IF(E17&gt;F17,$D$13,$F$13))</f>
        <v>Campaign 1</v>
      </c>
    </row>
    <row r="18" spans="4:7" ht="24" customHeight="1" x14ac:dyDescent="0.25">
      <c r="D18" s="60" t="s">
        <v>158</v>
      </c>
      <c r="E18" s="63">
        <f>E16-E17/E17</f>
        <v>72701.159999999989</v>
      </c>
      <c r="F18" s="54">
        <f>F16-F17/F17</f>
        <v>205678.52000000002</v>
      </c>
      <c r="G18" s="66" t="str">
        <f>IF(D18="Spend",
IF(E18&lt;F18,$D$13,$F$13),
IF(E18&gt;F18,$D$13,$F$13))</f>
        <v xml:space="preserve">                Campaign 2</v>
      </c>
    </row>
    <row r="19" spans="4:7" ht="27" customHeight="1" x14ac:dyDescent="0.25">
      <c r="D19" s="61" t="s">
        <v>132</v>
      </c>
      <c r="E19" s="64">
        <f>SUMIFS(tbl_campaigns[Conversions],tbl_campaigns[Campaign Name],E13)
/
SUMIFS(tbl_campaigns[Clicks],tbl_campaigns[Campaign Name],E13)</f>
        <v>2.231233016304348E-2</v>
      </c>
      <c r="F19" s="62">
        <f>SUMIFS(tbl_campaigns[Conversions],tbl_campaigns[Campaign Name],G13)
/
SUMIFS(tbl_campaigns[Clicks],tbl_campaigns[Campaign Name],G13)</f>
        <v>4.4288513236433229E-2</v>
      </c>
      <c r="G19" s="67" t="str">
        <f>IF(D19="Spend",
IF(E19&lt;F19,$D$13,$F$13),
IF(E19&gt;F19,$D$13,$F$13))</f>
        <v xml:space="preserve">                Campaign 2</v>
      </c>
    </row>
  </sheetData>
  <mergeCells count="7">
    <mergeCell ref="L7:M7"/>
    <mergeCell ref="D11:G11"/>
    <mergeCell ref="A1:Q3"/>
    <mergeCell ref="K5:M5"/>
    <mergeCell ref="D7:E7"/>
    <mergeCell ref="D5:E5"/>
    <mergeCell ref="G5:H5"/>
  </mergeCells>
  <phoneticPr fontId="3" type="noConversion"/>
  <conditionalFormatting sqref="G15:G19">
    <cfRule type="cellIs" dxfId="1" priority="1" operator="equal">
      <formula>$F$13</formula>
    </cfRule>
    <cfRule type="cellIs" dxfId="0" priority="2" operator="equal">
      <formula>$D$13</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AF3D451-CE9D-4DC0-8E2D-645A86A3D33A}">
          <x14:formula1>
            <xm:f>Lists!$A$2:$A$11</xm:f>
          </x14:formula1>
          <xm:sqref>E13 G13</xm:sqref>
        </x14:dataValidation>
      </x14:dataValidation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Pivot_Tables</vt:lpstr>
      <vt:lpstr>Lists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Sharma</cp:lastModifiedBy>
  <dcterms:created xsi:type="dcterms:W3CDTF">2026-05-20T09:22:38Z</dcterms:created>
  <dcterms:modified xsi:type="dcterms:W3CDTF">2026-05-22T10:12:51Z</dcterms:modified>
</cp:coreProperties>
</file>